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Hemal\Downloads\"/>
    </mc:Choice>
  </mc:AlternateContent>
  <xr:revisionPtr revIDLastSave="0" documentId="8_{990D52F0-A992-44F7-83C7-4124372FC9ED}" xr6:coauthVersionLast="47" xr6:coauthVersionMax="47" xr10:uidLastSave="{00000000-0000-0000-0000-000000000000}"/>
  <bookViews>
    <workbookView xWindow="-108" yWindow="-108" windowWidth="23256" windowHeight="12456" activeTab="5" xr2:uid="{70CA5ECD-3B85-4861-AAED-6A560389B5B4}"/>
  </bookViews>
  <sheets>
    <sheet name="Raw_Data" sheetId="2" r:id="rId1"/>
    <sheet name="Cleaned_Data" sheetId="4" r:id="rId2"/>
    <sheet name="Calculation" sheetId="3" r:id="rId3"/>
    <sheet name="KPI_Summary" sheetId="5" r:id="rId4"/>
    <sheet name="Pivot_Table" sheetId="7" r:id="rId5"/>
    <sheet name="Dashboard" sheetId="8" r:id="rId6"/>
  </sheets>
  <definedNames>
    <definedName name="NativeTimeline_Completion_Date">#N/A</definedName>
    <definedName name="Slicer_Department">#N/A</definedName>
    <definedName name="Slicer_Priority">#N/A</definedName>
    <definedName name="Slicer_Task_Status">#N/A</definedName>
  </definedNames>
  <calcPr calcId="191029"/>
  <pivotCaches>
    <pivotCache cacheId="16"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6" i="3" l="1"/>
  <c r="P2" i="3"/>
  <c r="B2" i="5"/>
  <c r="B7" i="5"/>
  <c r="S2" i="3"/>
  <c r="S3" i="3"/>
  <c r="B8" i="5" s="1"/>
  <c r="S4" i="3"/>
  <c r="S5" i="3"/>
  <c r="S6" i="3"/>
  <c r="S7" i="3"/>
  <c r="S8" i="3"/>
  <c r="S9" i="3"/>
  <c r="S10" i="3"/>
  <c r="S11" i="3"/>
  <c r="S12" i="3"/>
  <c r="S13" i="3"/>
  <c r="S14" i="3"/>
  <c r="S15" i="3"/>
  <c r="S16" i="3"/>
  <c r="S17" i="3"/>
  <c r="S18" i="3"/>
  <c r="S19" i="3"/>
  <c r="S20" i="3"/>
  <c r="S21" i="3"/>
  <c r="S22" i="3"/>
  <c r="S23" i="3"/>
  <c r="S24" i="3"/>
  <c r="S25" i="3"/>
  <c r="S26" i="3"/>
  <c r="S27" i="3"/>
  <c r="S28" i="3"/>
  <c r="S29" i="3"/>
  <c r="S30" i="3"/>
  <c r="S31" i="3"/>
  <c r="S32" i="3"/>
  <c r="S33" i="3"/>
  <c r="S34" i="3"/>
  <c r="S35" i="3"/>
  <c r="S36" i="3"/>
  <c r="S37" i="3"/>
  <c r="S38" i="3"/>
  <c r="S39" i="3"/>
  <c r="S40" i="3"/>
  <c r="S41" i="3"/>
  <c r="S42" i="3"/>
  <c r="S43" i="3"/>
  <c r="S44" i="3"/>
  <c r="S45" i="3"/>
  <c r="S46" i="3"/>
  <c r="S47" i="3"/>
  <c r="S48" i="3"/>
  <c r="S49" i="3"/>
  <c r="S50" i="3"/>
  <c r="S51" i="3"/>
  <c r="S52" i="3"/>
  <c r="S53" i="3"/>
  <c r="S54" i="3"/>
  <c r="S55" i="3"/>
  <c r="S56" i="3"/>
  <c r="S57" i="3"/>
  <c r="S58" i="3"/>
  <c r="S59" i="3"/>
  <c r="S60" i="3"/>
  <c r="S61" i="3"/>
  <c r="S62" i="3"/>
  <c r="S63" i="3"/>
  <c r="S64" i="3"/>
  <c r="S65" i="3"/>
  <c r="S66" i="3"/>
  <c r="S67" i="3"/>
  <c r="S68" i="3"/>
  <c r="S69" i="3"/>
  <c r="S70" i="3"/>
  <c r="S71" i="3"/>
  <c r="S72" i="3"/>
  <c r="S73" i="3"/>
  <c r="S74" i="3"/>
  <c r="S75" i="3"/>
  <c r="S76" i="3"/>
  <c r="S77" i="3"/>
  <c r="S78" i="3"/>
  <c r="S79" i="3"/>
  <c r="S80" i="3"/>
  <c r="S81" i="3"/>
  <c r="S82" i="3"/>
  <c r="S83" i="3"/>
  <c r="S84" i="3"/>
  <c r="S85" i="3"/>
  <c r="S86" i="3"/>
  <c r="S87" i="3"/>
  <c r="S88" i="3"/>
  <c r="S89" i="3"/>
  <c r="S90" i="3"/>
  <c r="S91" i="3"/>
  <c r="S92" i="3"/>
  <c r="S93" i="3"/>
  <c r="S94" i="3"/>
  <c r="S95" i="3"/>
  <c r="S96" i="3"/>
  <c r="S97" i="3"/>
  <c r="S98" i="3"/>
  <c r="S99" i="3"/>
  <c r="S100" i="3"/>
  <c r="S101" i="3"/>
  <c r="R2" i="3"/>
  <c r="R3" i="3"/>
  <c r="R4" i="3"/>
  <c r="R5" i="3"/>
  <c r="R6" i="3"/>
  <c r="R7" i="3"/>
  <c r="R8" i="3"/>
  <c r="R9" i="3"/>
  <c r="R10" i="3"/>
  <c r="R11" i="3"/>
  <c r="R12" i="3"/>
  <c r="R13" i="3"/>
  <c r="R14" i="3"/>
  <c r="R15" i="3"/>
  <c r="R16" i="3"/>
  <c r="R17" i="3"/>
  <c r="R18" i="3"/>
  <c r="R19" i="3"/>
  <c r="R20" i="3"/>
  <c r="R21" i="3"/>
  <c r="R22" i="3"/>
  <c r="R23" i="3"/>
  <c r="R24" i="3"/>
  <c r="R25" i="3"/>
  <c r="R26" i="3"/>
  <c r="R27" i="3"/>
  <c r="R28" i="3"/>
  <c r="R29" i="3"/>
  <c r="R30" i="3"/>
  <c r="R31" i="3"/>
  <c r="R32" i="3"/>
  <c r="R33" i="3"/>
  <c r="R34" i="3"/>
  <c r="R35" i="3"/>
  <c r="R36" i="3"/>
  <c r="R37" i="3"/>
  <c r="R38" i="3"/>
  <c r="R39" i="3"/>
  <c r="R40" i="3"/>
  <c r="R41" i="3"/>
  <c r="R42" i="3"/>
  <c r="R43" i="3"/>
  <c r="R44" i="3"/>
  <c r="R45" i="3"/>
  <c r="R46" i="3"/>
  <c r="R47" i="3"/>
  <c r="R48" i="3"/>
  <c r="R49" i="3"/>
  <c r="R50" i="3"/>
  <c r="R51" i="3"/>
  <c r="R52" i="3"/>
  <c r="R53" i="3"/>
  <c r="R54" i="3"/>
  <c r="R55" i="3"/>
  <c r="R56" i="3"/>
  <c r="R57" i="3"/>
  <c r="R58" i="3"/>
  <c r="R59" i="3"/>
  <c r="R60" i="3"/>
  <c r="R61" i="3"/>
  <c r="R62" i="3"/>
  <c r="R63" i="3"/>
  <c r="R64" i="3"/>
  <c r="R65" i="3"/>
  <c r="R66" i="3"/>
  <c r="R67" i="3"/>
  <c r="R68" i="3"/>
  <c r="R69" i="3"/>
  <c r="R70" i="3"/>
  <c r="R71" i="3"/>
  <c r="R72" i="3"/>
  <c r="R73" i="3"/>
  <c r="R74" i="3"/>
  <c r="R75" i="3"/>
  <c r="R76" i="3"/>
  <c r="R77" i="3"/>
  <c r="R78" i="3"/>
  <c r="R79" i="3"/>
  <c r="R80" i="3"/>
  <c r="R81" i="3"/>
  <c r="R82" i="3"/>
  <c r="R83" i="3"/>
  <c r="R84" i="3"/>
  <c r="R85" i="3"/>
  <c r="R86" i="3"/>
  <c r="R87" i="3"/>
  <c r="R88" i="3"/>
  <c r="R89" i="3"/>
  <c r="R90" i="3"/>
  <c r="R91" i="3"/>
  <c r="R92" i="3"/>
  <c r="R93" i="3"/>
  <c r="R94" i="3"/>
  <c r="R95" i="3"/>
  <c r="R96" i="3"/>
  <c r="R97" i="3"/>
  <c r="R98" i="3"/>
  <c r="R99" i="3"/>
  <c r="R100" i="3"/>
  <c r="R101" i="3"/>
  <c r="Q2" i="3"/>
  <c r="P3" i="3"/>
  <c r="Q3" i="3" s="1"/>
  <c r="P4" i="3"/>
  <c r="Q4" i="3" s="1"/>
  <c r="P5" i="3"/>
  <c r="Q5" i="3" s="1"/>
  <c r="P6" i="3"/>
  <c r="P7" i="3"/>
  <c r="Q7" i="3" s="1"/>
  <c r="P8" i="3"/>
  <c r="Q8" i="3" s="1"/>
  <c r="P9" i="3"/>
  <c r="Q9" i="3" s="1"/>
  <c r="P10" i="3"/>
  <c r="Q10" i="3" s="1"/>
  <c r="P11" i="3"/>
  <c r="Q11" i="3" s="1"/>
  <c r="P12" i="3"/>
  <c r="P13" i="3"/>
  <c r="Q13" i="3" s="1"/>
  <c r="P14" i="3"/>
  <c r="Q14" i="3" s="1"/>
  <c r="P15" i="3"/>
  <c r="Q15" i="3" s="1"/>
  <c r="P16" i="3"/>
  <c r="Q16" i="3" s="1"/>
  <c r="P17" i="3"/>
  <c r="Q17" i="3" s="1"/>
  <c r="P18" i="3"/>
  <c r="Q18" i="3" s="1"/>
  <c r="P19" i="3"/>
  <c r="Q19" i="3" s="1"/>
  <c r="P20" i="3"/>
  <c r="Q20" i="3" s="1"/>
  <c r="P21" i="3"/>
  <c r="Q21" i="3" s="1"/>
  <c r="P22" i="3"/>
  <c r="Q22" i="3" s="1"/>
  <c r="P23" i="3"/>
  <c r="Q23" i="3" s="1"/>
  <c r="P24" i="3"/>
  <c r="Q24" i="3" s="1"/>
  <c r="P25" i="3"/>
  <c r="Q25" i="3" s="1"/>
  <c r="P26" i="3"/>
  <c r="Q26" i="3" s="1"/>
  <c r="P27" i="3"/>
  <c r="Q27" i="3" s="1"/>
  <c r="P28" i="3"/>
  <c r="Q28" i="3" s="1"/>
  <c r="P29" i="3"/>
  <c r="Q29" i="3" s="1"/>
  <c r="P30" i="3"/>
  <c r="Q30" i="3" s="1"/>
  <c r="P31" i="3"/>
  <c r="Q31" i="3" s="1"/>
  <c r="P32" i="3"/>
  <c r="Q32" i="3" s="1"/>
  <c r="P33" i="3"/>
  <c r="Q33" i="3" s="1"/>
  <c r="P34" i="3"/>
  <c r="Q34" i="3" s="1"/>
  <c r="P35" i="3"/>
  <c r="Q35" i="3" s="1"/>
  <c r="P36" i="3"/>
  <c r="Q36" i="3" s="1"/>
  <c r="P37" i="3"/>
  <c r="Q37" i="3" s="1"/>
  <c r="P38" i="3"/>
  <c r="Q38" i="3" s="1"/>
  <c r="P39" i="3"/>
  <c r="Q39" i="3" s="1"/>
  <c r="P40" i="3"/>
  <c r="Q40" i="3" s="1"/>
  <c r="P41" i="3"/>
  <c r="Q41" i="3" s="1"/>
  <c r="P42" i="3"/>
  <c r="Q42" i="3" s="1"/>
  <c r="P43" i="3"/>
  <c r="Q43" i="3" s="1"/>
  <c r="P44" i="3"/>
  <c r="Q44" i="3" s="1"/>
  <c r="P45" i="3"/>
  <c r="Q45" i="3" s="1"/>
  <c r="P46" i="3"/>
  <c r="Q46" i="3" s="1"/>
  <c r="P47" i="3"/>
  <c r="Q47" i="3" s="1"/>
  <c r="P48" i="3"/>
  <c r="Q48" i="3" s="1"/>
  <c r="P49" i="3"/>
  <c r="Q49" i="3" s="1"/>
  <c r="P50" i="3"/>
  <c r="Q50" i="3" s="1"/>
  <c r="P51" i="3"/>
  <c r="Q51" i="3" s="1"/>
  <c r="P52" i="3"/>
  <c r="Q52" i="3" s="1"/>
  <c r="P53" i="3"/>
  <c r="Q53" i="3" s="1"/>
  <c r="P54" i="3"/>
  <c r="Q54" i="3" s="1"/>
  <c r="P55" i="3"/>
  <c r="Q55" i="3" s="1"/>
  <c r="P56" i="3"/>
  <c r="Q56" i="3" s="1"/>
  <c r="P57" i="3"/>
  <c r="Q57" i="3" s="1"/>
  <c r="P58" i="3"/>
  <c r="Q58" i="3" s="1"/>
  <c r="P59" i="3"/>
  <c r="Q59" i="3" s="1"/>
  <c r="P60" i="3"/>
  <c r="Q60" i="3" s="1"/>
  <c r="P61" i="3"/>
  <c r="Q61" i="3" s="1"/>
  <c r="P62" i="3"/>
  <c r="Q62" i="3" s="1"/>
  <c r="P63" i="3"/>
  <c r="Q63" i="3" s="1"/>
  <c r="P64" i="3"/>
  <c r="Q64" i="3" s="1"/>
  <c r="P65" i="3"/>
  <c r="Q65" i="3" s="1"/>
  <c r="P66" i="3"/>
  <c r="Q66" i="3" s="1"/>
  <c r="P67" i="3"/>
  <c r="Q67" i="3" s="1"/>
  <c r="P68" i="3"/>
  <c r="Q68" i="3" s="1"/>
  <c r="P69" i="3"/>
  <c r="Q69" i="3" s="1"/>
  <c r="P70" i="3"/>
  <c r="Q70" i="3" s="1"/>
  <c r="P71" i="3"/>
  <c r="Q71" i="3" s="1"/>
  <c r="P72" i="3"/>
  <c r="Q72" i="3" s="1"/>
  <c r="P73" i="3"/>
  <c r="Q73" i="3" s="1"/>
  <c r="P74" i="3"/>
  <c r="Q74" i="3" s="1"/>
  <c r="P75" i="3"/>
  <c r="Q75" i="3" s="1"/>
  <c r="P76" i="3"/>
  <c r="Q76" i="3" s="1"/>
  <c r="P77" i="3"/>
  <c r="Q77" i="3" s="1"/>
  <c r="P78" i="3"/>
  <c r="Q78" i="3" s="1"/>
  <c r="P79" i="3"/>
  <c r="Q79" i="3" s="1"/>
  <c r="P80" i="3"/>
  <c r="Q80" i="3" s="1"/>
  <c r="P81" i="3"/>
  <c r="Q81" i="3" s="1"/>
  <c r="P82" i="3"/>
  <c r="Q82" i="3" s="1"/>
  <c r="P83" i="3"/>
  <c r="Q83" i="3" s="1"/>
  <c r="P84" i="3"/>
  <c r="Q84" i="3" s="1"/>
  <c r="P85" i="3"/>
  <c r="Q85" i="3" s="1"/>
  <c r="P86" i="3"/>
  <c r="Q86" i="3" s="1"/>
  <c r="P87" i="3"/>
  <c r="Q87" i="3" s="1"/>
  <c r="P88" i="3"/>
  <c r="Q88" i="3" s="1"/>
  <c r="P89" i="3"/>
  <c r="Q89" i="3" s="1"/>
  <c r="P90" i="3"/>
  <c r="Q90" i="3" s="1"/>
  <c r="P91" i="3"/>
  <c r="Q91" i="3" s="1"/>
  <c r="P92" i="3"/>
  <c r="Q92" i="3" s="1"/>
  <c r="P93" i="3"/>
  <c r="Q93" i="3" s="1"/>
  <c r="P94" i="3"/>
  <c r="Q94" i="3" s="1"/>
  <c r="P95" i="3"/>
  <c r="Q95" i="3" s="1"/>
  <c r="P96" i="3"/>
  <c r="Q96" i="3" s="1"/>
  <c r="P97" i="3"/>
  <c r="Q97" i="3" s="1"/>
  <c r="P98" i="3"/>
  <c r="Q98" i="3" s="1"/>
  <c r="P99" i="3"/>
  <c r="Q99" i="3" s="1"/>
  <c r="P100" i="3"/>
  <c r="Q100" i="3" s="1"/>
  <c r="P101" i="3"/>
  <c r="Q101" i="3" s="1"/>
  <c r="O3" i="3"/>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2" i="3"/>
  <c r="B3" i="5" l="1"/>
  <c r="B9" i="5" s="1"/>
  <c r="B4" i="5"/>
  <c r="B5" i="5"/>
  <c r="T84" i="3"/>
  <c r="B6" i="5"/>
  <c r="T73" i="3"/>
  <c r="Q12" i="3"/>
  <c r="T12" i="3"/>
  <c r="T72" i="3"/>
  <c r="T61" i="3"/>
  <c r="T60" i="3"/>
  <c r="T49" i="3"/>
  <c r="T48" i="3"/>
  <c r="T37" i="3"/>
  <c r="T36" i="3"/>
  <c r="T97" i="3"/>
  <c r="T25" i="3"/>
  <c r="T96" i="3"/>
  <c r="T24" i="3"/>
  <c r="T85" i="3"/>
  <c r="T13" i="3"/>
  <c r="T95" i="3"/>
  <c r="T83" i="3"/>
  <c r="T71" i="3"/>
  <c r="T59" i="3"/>
  <c r="T47" i="3"/>
  <c r="T35" i="3"/>
  <c r="T23" i="3"/>
  <c r="T11" i="3"/>
  <c r="T94" i="3"/>
  <c r="T82" i="3"/>
  <c r="T70" i="3"/>
  <c r="T58" i="3"/>
  <c r="T46" i="3"/>
  <c r="T34" i="3"/>
  <c r="T22" i="3"/>
  <c r="T10" i="3"/>
  <c r="T93" i="3"/>
  <c r="T81" i="3"/>
  <c r="T69" i="3"/>
  <c r="T57" i="3"/>
  <c r="T45" i="3"/>
  <c r="T33" i="3"/>
  <c r="T21" i="3"/>
  <c r="T9" i="3"/>
  <c r="T92" i="3"/>
  <c r="T80" i="3"/>
  <c r="T68" i="3"/>
  <c r="T56" i="3"/>
  <c r="T44" i="3"/>
  <c r="T32" i="3"/>
  <c r="T20" i="3"/>
  <c r="T8" i="3"/>
  <c r="T91" i="3"/>
  <c r="T79" i="3"/>
  <c r="T67" i="3"/>
  <c r="T55" i="3"/>
  <c r="T43" i="3"/>
  <c r="T31" i="3"/>
  <c r="T19" i="3"/>
  <c r="T7" i="3"/>
  <c r="T90" i="3"/>
  <c r="T78" i="3"/>
  <c r="T66" i="3"/>
  <c r="T54" i="3"/>
  <c r="T42" i="3"/>
  <c r="T30" i="3"/>
  <c r="T18" i="3"/>
  <c r="T6" i="3"/>
  <c r="T101" i="3"/>
  <c r="T89" i="3"/>
  <c r="T77" i="3"/>
  <c r="T65" i="3"/>
  <c r="T53" i="3"/>
  <c r="T41" i="3"/>
  <c r="T29" i="3"/>
  <c r="T17" i="3"/>
  <c r="T5" i="3"/>
  <c r="T100" i="3"/>
  <c r="T88" i="3"/>
  <c r="T76" i="3"/>
  <c r="T64" i="3"/>
  <c r="T52" i="3"/>
  <c r="T40" i="3"/>
  <c r="T28" i="3"/>
  <c r="T16" i="3"/>
  <c r="T4" i="3"/>
  <c r="T99" i="3"/>
  <c r="T87" i="3"/>
  <c r="T75" i="3"/>
  <c r="T63" i="3"/>
  <c r="T51" i="3"/>
  <c r="T39" i="3"/>
  <c r="T27" i="3"/>
  <c r="T15" i="3"/>
  <c r="T3" i="3"/>
  <c r="T98" i="3"/>
  <c r="T86" i="3"/>
  <c r="T74" i="3"/>
  <c r="T62" i="3"/>
  <c r="T50" i="3"/>
  <c r="T38" i="3"/>
  <c r="T26" i="3"/>
  <c r="T14" i="3"/>
  <c r="T2" i="3"/>
</calcChain>
</file>

<file path=xl/sharedStrings.xml><?xml version="1.0" encoding="utf-8"?>
<sst xmlns="http://schemas.openxmlformats.org/spreadsheetml/2006/main" count="2535" uniqueCount="202">
  <si>
    <t>Task ID</t>
  </si>
  <si>
    <t>Project Name</t>
  </si>
  <si>
    <t>Department</t>
  </si>
  <si>
    <t>Assigned To</t>
  </si>
  <si>
    <t>Role</t>
  </si>
  <si>
    <t>Priority</t>
  </si>
  <si>
    <t>Task Category</t>
  </si>
  <si>
    <t>Start Date</t>
  </si>
  <si>
    <t>Due Date</t>
  </si>
  <si>
    <t>Completion Date</t>
  </si>
  <si>
    <t>Task Status</t>
  </si>
  <si>
    <t>Progress %</t>
  </si>
  <si>
    <t>Estimated Hours</t>
  </si>
  <si>
    <t>Actual Hours</t>
  </si>
  <si>
    <t>Variance</t>
  </si>
  <si>
    <t>Remarks</t>
  </si>
  <si>
    <t>T001</t>
  </si>
  <si>
    <t>Website Revamp</t>
  </si>
  <si>
    <t>IT</t>
  </si>
  <si>
    <t>Ravi</t>
  </si>
  <si>
    <t>Developer</t>
  </si>
  <si>
    <t>High</t>
  </si>
  <si>
    <t>Development</t>
  </si>
  <si>
    <t>Completed</t>
  </si>
  <si>
    <t>On Time</t>
  </si>
  <si>
    <t>T002</t>
  </si>
  <si>
    <t>Sneha</t>
  </si>
  <si>
    <t>Tester</t>
  </si>
  <si>
    <t>Medium</t>
  </si>
  <si>
    <t>Testing</t>
  </si>
  <si>
    <t>Delayed</t>
  </si>
  <si>
    <t>T003</t>
  </si>
  <si>
    <t>Marketing Campaign</t>
  </si>
  <si>
    <t>Marketing</t>
  </si>
  <si>
    <t>Rahul</t>
  </si>
  <si>
    <t>Analyst</t>
  </si>
  <si>
    <t>Planning</t>
  </si>
  <si>
    <t>Ongoing</t>
  </si>
  <si>
    <t>T004</t>
  </si>
  <si>
    <t>Hiring Drive</t>
  </si>
  <si>
    <t>HR</t>
  </si>
  <si>
    <t>Priya</t>
  </si>
  <si>
    <t>Recruiter</t>
  </si>
  <si>
    <t>Low</t>
  </si>
  <si>
    <t>Recruitment</t>
  </si>
  <si>
    <t>Pending</t>
  </si>
  <si>
    <t>T005</t>
  </si>
  <si>
    <t>Sales Report</t>
  </si>
  <si>
    <t>Sales</t>
  </si>
  <si>
    <t>Arjun</t>
  </si>
  <si>
    <t>Executive</t>
  </si>
  <si>
    <t>Reporting</t>
  </si>
  <si>
    <t>Done</t>
  </si>
  <si>
    <t>T006</t>
  </si>
  <si>
    <t>App Development</t>
  </si>
  <si>
    <t>Kiran</t>
  </si>
  <si>
    <t>Coding</t>
  </si>
  <si>
    <t>T007</t>
  </si>
  <si>
    <t>Customer Survey</t>
  </si>
  <si>
    <t>Meena</t>
  </si>
  <si>
    <t>Research</t>
  </si>
  <si>
    <t>T008</t>
  </si>
  <si>
    <t>Payroll Update</t>
  </si>
  <si>
    <t>Anil</t>
  </si>
  <si>
    <t>Manager</t>
  </si>
  <si>
    <t>Finance</t>
  </si>
  <si>
    <t>T009</t>
  </si>
  <si>
    <t>Sales Target Plan</t>
  </si>
  <si>
    <t>Divya</t>
  </si>
  <si>
    <t>T010</t>
  </si>
  <si>
    <t>Bug Fix</t>
  </si>
  <si>
    <t>T011</t>
  </si>
  <si>
    <t>T012</t>
  </si>
  <si>
    <t>Execution</t>
  </si>
  <si>
    <t>T013</t>
  </si>
  <si>
    <t>Screening</t>
  </si>
  <si>
    <t>T014</t>
  </si>
  <si>
    <t>Analysis</t>
  </si>
  <si>
    <t>T015</t>
  </si>
  <si>
    <t>T016</t>
  </si>
  <si>
    <t>Data Entry</t>
  </si>
  <si>
    <t>T017</t>
  </si>
  <si>
    <t>Verification</t>
  </si>
  <si>
    <t>T018</t>
  </si>
  <si>
    <t>T019</t>
  </si>
  <si>
    <t>T020</t>
  </si>
  <si>
    <t>T021</t>
  </si>
  <si>
    <t>Design</t>
  </si>
  <si>
    <t>T022</t>
  </si>
  <si>
    <t>Interview</t>
  </si>
  <si>
    <t>T023</t>
  </si>
  <si>
    <t>T024</t>
  </si>
  <si>
    <t>T025</t>
  </si>
  <si>
    <t>T026</t>
  </si>
  <si>
    <t>Calculation</t>
  </si>
  <si>
    <t>T027</t>
  </si>
  <si>
    <t>T028</t>
  </si>
  <si>
    <t>T029</t>
  </si>
  <si>
    <t>T030</t>
  </si>
  <si>
    <t>T031</t>
  </si>
  <si>
    <t>T032</t>
  </si>
  <si>
    <t>T033</t>
  </si>
  <si>
    <t>T034</t>
  </si>
  <si>
    <t>T035</t>
  </si>
  <si>
    <t>T036</t>
  </si>
  <si>
    <t>T037</t>
  </si>
  <si>
    <t>T038</t>
  </si>
  <si>
    <t>T039</t>
  </si>
  <si>
    <t>T040</t>
  </si>
  <si>
    <t>T041</t>
  </si>
  <si>
    <t>T042</t>
  </si>
  <si>
    <t>T043</t>
  </si>
  <si>
    <t>T044</t>
  </si>
  <si>
    <t>T045</t>
  </si>
  <si>
    <t>T046</t>
  </si>
  <si>
    <t>T047</t>
  </si>
  <si>
    <t>T048</t>
  </si>
  <si>
    <t>T049</t>
  </si>
  <si>
    <t>T050</t>
  </si>
  <si>
    <t>T051</t>
  </si>
  <si>
    <t>T052</t>
  </si>
  <si>
    <t>T053</t>
  </si>
  <si>
    <t>T054</t>
  </si>
  <si>
    <t>T055</t>
  </si>
  <si>
    <t>T056</t>
  </si>
  <si>
    <t>T057</t>
  </si>
  <si>
    <t>T058</t>
  </si>
  <si>
    <t>T059</t>
  </si>
  <si>
    <t>T060</t>
  </si>
  <si>
    <t>T061</t>
  </si>
  <si>
    <t>T062</t>
  </si>
  <si>
    <t>T063</t>
  </si>
  <si>
    <t>T064</t>
  </si>
  <si>
    <t>T065</t>
  </si>
  <si>
    <t>T066</t>
  </si>
  <si>
    <t>T067</t>
  </si>
  <si>
    <t>T068</t>
  </si>
  <si>
    <t>T069</t>
  </si>
  <si>
    <t>T070</t>
  </si>
  <si>
    <t>T071</t>
  </si>
  <si>
    <t>T072</t>
  </si>
  <si>
    <t>T073</t>
  </si>
  <si>
    <t>T074</t>
  </si>
  <si>
    <t>T075</t>
  </si>
  <si>
    <t>T076</t>
  </si>
  <si>
    <t>T077</t>
  </si>
  <si>
    <t>T078</t>
  </si>
  <si>
    <t>T079</t>
  </si>
  <si>
    <t>T080</t>
  </si>
  <si>
    <t>T081</t>
  </si>
  <si>
    <t>T082</t>
  </si>
  <si>
    <t>T083</t>
  </si>
  <si>
    <t>T084</t>
  </si>
  <si>
    <t>T085</t>
  </si>
  <si>
    <t>T086</t>
  </si>
  <si>
    <t>T087</t>
  </si>
  <si>
    <t>T088</t>
  </si>
  <si>
    <t>T089</t>
  </si>
  <si>
    <t>T090</t>
  </si>
  <si>
    <t>T091</t>
  </si>
  <si>
    <t>T092</t>
  </si>
  <si>
    <t>T093</t>
  </si>
  <si>
    <t>T094</t>
  </si>
  <si>
    <t>T095</t>
  </si>
  <si>
    <t>T096</t>
  </si>
  <si>
    <t>T097</t>
  </si>
  <si>
    <t>T098</t>
  </si>
  <si>
    <t>T099</t>
  </si>
  <si>
    <t>T100</t>
  </si>
  <si>
    <t>Progress%</t>
  </si>
  <si>
    <t>Delay</t>
  </si>
  <si>
    <t>Days Taken</t>
  </si>
  <si>
    <t>ca</t>
  </si>
  <si>
    <t>Over Due</t>
  </si>
  <si>
    <t>KPI Summary</t>
  </si>
  <si>
    <t>Total Tasks</t>
  </si>
  <si>
    <t>Completed Tasks</t>
  </si>
  <si>
    <t>Pending Tasks</t>
  </si>
  <si>
    <t>Dalayed Tasks</t>
  </si>
  <si>
    <t>Tasks Completion</t>
  </si>
  <si>
    <t>High Priority Task</t>
  </si>
  <si>
    <t>Average Completion Time</t>
  </si>
  <si>
    <t>Productivity Indicator</t>
  </si>
  <si>
    <t>Values</t>
  </si>
  <si>
    <t>Row Labels</t>
  </si>
  <si>
    <t>In progress</t>
  </si>
  <si>
    <t>Grand Total</t>
  </si>
  <si>
    <t>Count of Task ID</t>
  </si>
  <si>
    <t>(blank)</t>
  </si>
  <si>
    <t>(All)</t>
  </si>
  <si>
    <t>Average of Progress %</t>
  </si>
  <si>
    <t>Tasks by Status</t>
  </si>
  <si>
    <t>Tasks by Department</t>
  </si>
  <si>
    <t>Employee Performance</t>
  </si>
  <si>
    <t>Priority Distribution</t>
  </si>
  <si>
    <t>Project -Wise Progress</t>
  </si>
  <si>
    <t xml:space="preserve"> Delayed Tasks Analysis</t>
  </si>
  <si>
    <t>&lt;04-01-2026</t>
  </si>
  <si>
    <t>Jan</t>
  </si>
  <si>
    <t>Feb</t>
  </si>
  <si>
    <t>Tasks Completion Trend</t>
  </si>
  <si>
    <t xml:space="preserve">Priority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</si>
</sst>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8"/>
      <name val="Aptos Narrow"/>
      <family val="2"/>
      <scheme val="minor"/>
    </font>
    <font>
      <b/>
      <sz val="16"/>
      <color theme="1"/>
      <name val="Aptos Narrow"/>
      <family val="2"/>
      <scheme val="minor"/>
    </font>
  </fonts>
  <fills count="3">
    <fill>
      <patternFill patternType="none"/>
    </fill>
    <fill>
      <patternFill patternType="gray125"/>
    </fill>
    <fill>
      <patternFill patternType="solid">
        <fgColor theme="3" tint="0.499984740745262"/>
        <bgColor indexed="64"/>
      </patternFill>
    </fill>
  </fills>
  <borders count="1">
    <border>
      <left/>
      <right/>
      <top/>
      <bottom/>
      <diagonal/>
    </border>
  </borders>
  <cellStyleXfs count="1">
    <xf numFmtId="0" fontId="0" fillId="0" borderId="0"/>
  </cellStyleXfs>
  <cellXfs count="8">
    <xf numFmtId="0" fontId="0" fillId="0" borderId="0" xfId="0"/>
    <xf numFmtId="16" fontId="0" fillId="0" borderId="0" xfId="0" applyNumberFormat="1"/>
    <xf numFmtId="0"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2" borderId="0" xfId="0" applyFill="1"/>
    <xf numFmtId="0" fontId="2" fillId="0" borderId="0" xfId="0" applyFont="1"/>
  </cellXfs>
  <cellStyles count="1">
    <cellStyle name="Normal" xfId="0" builtinId="0"/>
  </cellStyles>
  <dxfs count="15">
    <dxf>
      <numFmt numFmtId="1" formatCode="0"/>
    </dxf>
    <dxf>
      <numFmt numFmtId="1" formatCode="0"/>
    </dxf>
    <dxf>
      <numFmt numFmtId="21" formatCode="dd/mmm"/>
    </dxf>
    <dxf>
      <numFmt numFmtId="21" formatCode="dd/mmm"/>
    </dxf>
    <dxf>
      <numFmt numFmtId="1" formatCode="0"/>
    </dxf>
    <dxf>
      <numFmt numFmtId="1" formatCode="0"/>
    </dxf>
    <dxf>
      <numFmt numFmtId="1" formatCode="0"/>
    </dxf>
    <dxf>
      <numFmt numFmtId="1" formatCode="0"/>
    </dxf>
    <dxf>
      <numFmt numFmtId="1" formatCode="0"/>
    </dxf>
    <dxf>
      <numFmt numFmtId="1" formatCode="0"/>
    </dxf>
    <dxf>
      <numFmt numFmtId="0" formatCode="General"/>
    </dxf>
    <dxf>
      <numFmt numFmtId="1" formatCode="0"/>
    </dxf>
    <dxf>
      <numFmt numFmtId="1" formatCode="0"/>
    </dxf>
    <dxf>
      <numFmt numFmtId="21" formatCode="dd/mmm"/>
    </dxf>
    <dxf>
      <numFmt numFmtId="21" formatCode="dd/mmm"/>
    </dxf>
  </dxfs>
  <tableStyles count="0" defaultTableStyle="TableStyleMedium2" defaultPivotStyle="PivotStyleLight16"/>
  <colors>
    <mruColors>
      <color rgb="FF33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[Management &amp; Task_Tracking_Dashboard.xlsx]Pivot_Table!PivotTable4</c:name>
    <c:fmtId val="2"/>
  </c:pivotSource>
  <c:chart>
    <c:title>
      <c:tx>
        <c:strRef>
          <c:f>Pivot_Table!$A$1</c:f>
          <c:strCache>
            <c:ptCount val="1"/>
            <c:pt idx="0">
              <c:v>Tasks by Status</c:v>
            </c:pt>
          </c:strCache>
        </c:strRef>
      </c:tx>
      <c:overlay val="0"/>
      <c:spPr>
        <a:noFill/>
        <a:ln>
          <a:noFill/>
        </a:ln>
        <a:effectLst/>
      </c:spPr>
      <c:txPr>
        <a:bodyPr rot="0" spcFirstLastPara="1" vertOverflow="ellipsis" vert="horz" wrap="square" anchor="ctr" anchorCtr="1"/>
        <a:lstStyle/>
        <a:p>
          <a:pPr>
            <a:defRPr sz="2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73790250148375"/>
          <c:y val="0.21042054753874434"/>
          <c:w val="0.79569587955780618"/>
          <c:h val="0.73722529570708972"/>
        </c:manualLayout>
      </c:layout>
      <c:barChart>
        <c:barDir val="bar"/>
        <c:grouping val="clustered"/>
        <c:varyColors val="0"/>
        <c:ser>
          <c:idx val="0"/>
          <c:order val="0"/>
          <c:tx>
            <c:strRef>
              <c:f>Pivot_Table!$B$2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Pivot_Table!$A$3:$A$6</c:f>
              <c:strCache>
                <c:ptCount val="3"/>
                <c:pt idx="0">
                  <c:v>Completed</c:v>
                </c:pt>
                <c:pt idx="1">
                  <c:v>Delayed</c:v>
                </c:pt>
                <c:pt idx="2">
                  <c:v>In progress</c:v>
                </c:pt>
              </c:strCache>
            </c:strRef>
          </c:cat>
          <c:val>
            <c:numRef>
              <c:f>Pivot_Table!$B$3:$B$6</c:f>
              <c:numCache>
                <c:formatCode>General</c:formatCode>
                <c:ptCount val="3"/>
                <c:pt idx="0">
                  <c:v>82</c:v>
                </c:pt>
                <c:pt idx="1">
                  <c:v>10</c:v>
                </c:pt>
                <c:pt idx="2">
                  <c:v>8</c:v>
                </c:pt>
              </c:numCache>
            </c:numRef>
          </c:val>
          <c:extLst>
            <c:ext xmlns:c16="http://schemas.microsoft.com/office/drawing/2014/chart" uri="{C3380CC4-5D6E-409C-BE32-E72D297353CC}">
              <c16:uniqueId val="{00000000-16B5-4A18-807C-BF90B6BC2095}"/>
            </c:ext>
          </c:extLst>
        </c:ser>
        <c:dLbls>
          <c:dLblPos val="outEnd"/>
          <c:showLegendKey val="0"/>
          <c:showVal val="1"/>
          <c:showCatName val="0"/>
          <c:showSerName val="0"/>
          <c:showPercent val="0"/>
          <c:showBubbleSize val="0"/>
        </c:dLbls>
        <c:gapWidth val="182"/>
        <c:axId val="703931392"/>
        <c:axId val="703929472"/>
      </c:barChart>
      <c:catAx>
        <c:axId val="703931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929472"/>
        <c:crosses val="autoZero"/>
        <c:auto val="1"/>
        <c:lblAlgn val="ctr"/>
        <c:lblOffset val="100"/>
        <c:noMultiLvlLbl val="0"/>
      </c:catAx>
      <c:valAx>
        <c:axId val="703929472"/>
        <c:scaling>
          <c:orientation val="minMax"/>
        </c:scaling>
        <c:delete val="1"/>
        <c:axPos val="b"/>
        <c:numFmt formatCode="General" sourceLinked="1"/>
        <c:majorTickMark val="none"/>
        <c:minorTickMark val="none"/>
        <c:tickLblPos val="nextTo"/>
        <c:crossAx val="703931392"/>
        <c:crosses val="autoZero"/>
        <c:crossBetween val="between"/>
      </c:valAx>
      <c:spPr>
        <a:noFill/>
        <a:ln>
          <a:noFill/>
        </a:ln>
        <a:effectLst>
          <a:outerShdw blurRad="50800" dist="50800" dir="5400000" sx="111000" sy="111000" algn="ctr" rotWithShape="0">
            <a:schemeClr val="tx2">
              <a:lumMod val="20000"/>
              <a:lumOff val="80000"/>
            </a:scheme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[Management &amp; Task_Tracking_Dashboard.xlsx]Pivot_Table!PivotTable5</c:name>
    <c:fmtId val="2"/>
  </c:pivotSource>
  <c:chart>
    <c:title>
      <c:tx>
        <c:strRef>
          <c:f>Pivot_Table!$D$1</c:f>
          <c:strCache>
            <c:ptCount val="1"/>
            <c:pt idx="0">
              <c:v>Tasks by Department</c:v>
            </c:pt>
          </c:strCache>
        </c:strRef>
      </c:tx>
      <c:overlay val="0"/>
      <c:spPr>
        <a:noFill/>
        <a:ln>
          <a:noFill/>
        </a:ln>
        <a:effectLst/>
      </c:spPr>
      <c:txPr>
        <a:bodyPr rot="0" spcFirstLastPara="1" vertOverflow="ellipsis" vert="horz" wrap="square" anchor="ctr" anchorCtr="1"/>
        <a:lstStyle/>
        <a:p>
          <a:pPr>
            <a:defRPr sz="2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151369429665839E-2"/>
          <c:y val="0.25122648030449929"/>
          <c:w val="0.92148465381870093"/>
          <c:h val="0.66269878029952134"/>
        </c:manualLayout>
      </c:layout>
      <c:barChart>
        <c:barDir val="col"/>
        <c:grouping val="clustered"/>
        <c:varyColors val="0"/>
        <c:ser>
          <c:idx val="0"/>
          <c:order val="0"/>
          <c:tx>
            <c:strRef>
              <c:f>Pivot_Table!$D$1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Pivot_Table!$D$1</c:f>
              <c:strCache>
                <c:ptCount val="5"/>
                <c:pt idx="0">
                  <c:v>HR</c:v>
                </c:pt>
                <c:pt idx="1">
                  <c:v>IT</c:v>
                </c:pt>
                <c:pt idx="2">
                  <c:v>Marketing</c:v>
                </c:pt>
                <c:pt idx="3">
                  <c:v>Sales</c:v>
                </c:pt>
                <c:pt idx="4">
                  <c:v>(blank)</c:v>
                </c:pt>
              </c:strCache>
            </c:strRef>
          </c:cat>
          <c:val>
            <c:numRef>
              <c:f>Pivot_Table!$D$1</c:f>
              <c:numCache>
                <c:formatCode>General</c:formatCode>
                <c:ptCount val="5"/>
                <c:pt idx="0">
                  <c:v>20</c:v>
                </c:pt>
                <c:pt idx="1">
                  <c:v>37</c:v>
                </c:pt>
                <c:pt idx="2">
                  <c:v>23</c:v>
                </c:pt>
                <c:pt idx="3">
                  <c:v>20</c:v>
                </c:pt>
              </c:numCache>
            </c:numRef>
          </c:val>
          <c:extLst>
            <c:ext xmlns:c16="http://schemas.microsoft.com/office/drawing/2014/chart" uri="{C3380CC4-5D6E-409C-BE32-E72D297353CC}">
              <c16:uniqueId val="{00000000-A3F8-4BF7-963D-714DF3DBC43B}"/>
            </c:ext>
          </c:extLst>
        </c:ser>
        <c:dLbls>
          <c:dLblPos val="outEnd"/>
          <c:showLegendKey val="0"/>
          <c:showVal val="1"/>
          <c:showCatName val="0"/>
          <c:showSerName val="0"/>
          <c:showPercent val="0"/>
          <c:showBubbleSize val="0"/>
        </c:dLbls>
        <c:gapWidth val="219"/>
        <c:overlap val="-27"/>
        <c:axId val="703927552"/>
        <c:axId val="703928032"/>
      </c:barChart>
      <c:catAx>
        <c:axId val="703927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03928032"/>
        <c:crosses val="autoZero"/>
        <c:auto val="1"/>
        <c:lblAlgn val="ctr"/>
        <c:lblOffset val="100"/>
        <c:noMultiLvlLbl val="0"/>
      </c:catAx>
      <c:valAx>
        <c:axId val="703928032"/>
        <c:scaling>
          <c:orientation val="minMax"/>
        </c:scaling>
        <c:delete val="1"/>
        <c:axPos val="l"/>
        <c:numFmt formatCode="General" sourceLinked="1"/>
        <c:majorTickMark val="none"/>
        <c:minorTickMark val="none"/>
        <c:tickLblPos val="nextTo"/>
        <c:crossAx val="703927552"/>
        <c:crosses val="autoZero"/>
        <c:crossBetween val="between"/>
      </c:valAx>
      <c:spPr>
        <a:solidFill>
          <a:schemeClr val="tx2">
            <a:lumMod val="40000"/>
            <a:lumOff val="60000"/>
          </a:schemeClr>
        </a:solidFill>
        <a:ln>
          <a:noFill/>
        </a:ln>
        <a:effectLst>
          <a:outerShdw blurRad="50800" dist="50800" dir="5400000" sx="119000" sy="119000" algn="ctr" rotWithShape="0">
            <a:schemeClr val="tx2">
              <a:lumMod val="20000"/>
              <a:lumOff val="80000"/>
            </a:scheme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40000"/>
        <a:lumOff val="60000"/>
      </a:schemeClr>
    </a:solid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[Management &amp; Task_Tracking_Dashboard.xlsx]Pivot_Table!PivotTable7</c:name>
    <c:fmtId val="3"/>
  </c:pivotSource>
  <c:chart>
    <c:title>
      <c:tx>
        <c:strRef>
          <c:f>Pivot_Table!$G$1:$H$1</c:f>
          <c:strCache>
            <c:ptCount val="2"/>
            <c:pt idx="0">
              <c:v>Priority Distribution</c:v>
            </c:pt>
          </c:strCache>
        </c:strRef>
      </c:tx>
      <c:overlay val="0"/>
      <c:spPr>
        <a:noFill/>
        <a:ln>
          <a:noFill/>
        </a:ln>
        <a:effectLst/>
      </c:spPr>
      <c:txPr>
        <a:bodyPr rot="0" spcFirstLastPara="1" vertOverflow="ellipsis" vert="horz" wrap="square" anchor="ctr" anchorCtr="1"/>
        <a:lstStyle/>
        <a:p>
          <a:pPr>
            <a:defRPr sz="2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rgbClr val="1F497D">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7.6407927364578687E-2"/>
              <c:y val="0"/>
            </c:manualLayout>
          </c:layout>
          <c:spPr>
            <a:solidFill>
              <a:srgbClr val="1F497D">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8.8633195742911272E-2"/>
              <c:y val="4.5959591024779291E-2"/>
            </c:manualLayout>
          </c:layout>
          <c:spPr>
            <a:solidFill>
              <a:srgbClr val="1F497D">
                <a:lumMod val="20000"/>
                <a:lumOff val="80000"/>
              </a:srgbClr>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38646"/>
                    <a:gd name="adj2" fmla="val 5230"/>
                  </a:avLst>
                </a:prstGeom>
                <a:noFill/>
                <a:ln>
                  <a:noFill/>
                </a:ln>
              </c15:spPr>
            </c:ext>
          </c:extLst>
        </c:dLbl>
      </c:pivotFmt>
      <c:pivotFmt>
        <c:idx val="9"/>
        <c:spPr>
          <a:solidFill>
            <a:schemeClr val="accent1"/>
          </a:solidFill>
          <a:ln w="19050">
            <a:solidFill>
              <a:schemeClr val="lt1"/>
            </a:solidFill>
          </a:ln>
          <a:effectLst/>
        </c:spPr>
        <c:dLbl>
          <c:idx val="0"/>
          <c:layout>
            <c:manualLayout>
              <c:x val="-6.7238976080829266E-2"/>
              <c:y val="9.1919182049558911E-3"/>
            </c:manualLayout>
          </c:layout>
          <c:spPr>
            <a:solidFill>
              <a:srgbClr val="1F497D">
                <a:lumMod val="20000"/>
                <a:lumOff val="80000"/>
              </a:srgbClr>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77999"/>
                    <a:gd name="adj2" fmla="val 26150"/>
                  </a:avLst>
                </a:prstGeom>
                <a:noFill/>
                <a:ln>
                  <a:noFill/>
                </a:ln>
              </c15:spPr>
            </c:ext>
          </c:extLst>
        </c:dLbl>
      </c:pivotFmt>
      <c:pivotFmt>
        <c:idx val="10"/>
        <c:spPr>
          <a:solidFill>
            <a:schemeClr val="accent1"/>
          </a:solidFill>
          <a:ln w="19050">
            <a:solidFill>
              <a:schemeClr val="lt1"/>
            </a:solidFill>
          </a:ln>
          <a:effectLst/>
        </c:spPr>
      </c:pivotFmt>
    </c:pivotFmts>
    <c:plotArea>
      <c:layout>
        <c:manualLayout>
          <c:layoutTarget val="inner"/>
          <c:xMode val="edge"/>
          <c:yMode val="edge"/>
          <c:x val="0.25709282155343693"/>
          <c:y val="0.32839322012798478"/>
          <c:w val="0.40047572178477692"/>
          <c:h val="0.66745953630796151"/>
        </c:manualLayout>
      </c:layout>
      <c:doughnutChart>
        <c:varyColors val="1"/>
        <c:ser>
          <c:idx val="0"/>
          <c:order val="0"/>
          <c:tx>
            <c:strRef>
              <c:f>Pivot_Table!$G$1:$H$1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2D7-4A04-AA41-D8CC08B7173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2D7-4A04-AA41-D8CC08B7173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2D7-4A04-AA41-D8CC08B7173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2D7-4A04-AA41-D8CC08B71730}"/>
              </c:ext>
            </c:extLst>
          </c:dPt>
          <c:dLbls>
            <c:dLbl>
              <c:idx val="0"/>
              <c:layout>
                <c:manualLayout>
                  <c:x val="7.6407927364578687E-2"/>
                  <c:y val="0"/>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2D7-4A04-AA41-D8CC08B71730}"/>
                </c:ext>
              </c:extLst>
            </c:dLbl>
            <c:dLbl>
              <c:idx val="1"/>
              <c:layout>
                <c:manualLayout>
                  <c:x val="-8.8633195742911272E-2"/>
                  <c:y val="4.5959591024779291E-2"/>
                </c:manualLayout>
              </c:layout>
              <c:spPr>
                <a:solidFill>
                  <a:srgbClr val="1F497D">
                    <a:lumMod val="20000"/>
                    <a:lumOff val="80000"/>
                  </a:srgbClr>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38646"/>
                        <a:gd name="adj2" fmla="val 5230"/>
                      </a:avLst>
                    </a:prstGeom>
                    <a:noFill/>
                    <a:ln>
                      <a:noFill/>
                    </a:ln>
                  </c15:spPr>
                </c:ext>
                <c:ext xmlns:c16="http://schemas.microsoft.com/office/drawing/2014/chart" uri="{C3380CC4-5D6E-409C-BE32-E72D297353CC}">
                  <c16:uniqueId val="{00000003-32D7-4A04-AA41-D8CC08B71730}"/>
                </c:ext>
              </c:extLst>
            </c:dLbl>
            <c:dLbl>
              <c:idx val="2"/>
              <c:layout>
                <c:manualLayout>
                  <c:x val="-6.7238976080829266E-2"/>
                  <c:y val="9.1919182049558911E-3"/>
                </c:manualLayout>
              </c:layout>
              <c:spPr>
                <a:solidFill>
                  <a:srgbClr val="1F497D">
                    <a:lumMod val="20000"/>
                    <a:lumOff val="80000"/>
                  </a:srgbClr>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77999"/>
                        <a:gd name="adj2" fmla="val 26150"/>
                      </a:avLst>
                    </a:prstGeom>
                    <a:noFill/>
                    <a:ln>
                      <a:noFill/>
                    </a:ln>
                  </c15:spPr>
                </c:ext>
                <c:ext xmlns:c16="http://schemas.microsoft.com/office/drawing/2014/chart" uri="{C3380CC4-5D6E-409C-BE32-E72D297353CC}">
                  <c16:uniqueId val="{00000005-32D7-4A04-AA41-D8CC08B71730}"/>
                </c:ext>
              </c:extLst>
            </c:dLbl>
            <c:spPr>
              <a:solidFill>
                <a:srgbClr val="1F497D">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Pivot_Table!$G$1:$H$1</c:f>
              <c:strCache>
                <c:ptCount val="4"/>
                <c:pt idx="0">
                  <c:v>High</c:v>
                </c:pt>
                <c:pt idx="1">
                  <c:v>Low</c:v>
                </c:pt>
                <c:pt idx="2">
                  <c:v>Medium</c:v>
                </c:pt>
                <c:pt idx="3">
                  <c:v>(blank)</c:v>
                </c:pt>
              </c:strCache>
            </c:strRef>
          </c:cat>
          <c:val>
            <c:numRef>
              <c:f>Pivot_Table!$G$1:$H$1</c:f>
              <c:numCache>
                <c:formatCode>General</c:formatCode>
                <c:ptCount val="4"/>
                <c:pt idx="0">
                  <c:v>51</c:v>
                </c:pt>
                <c:pt idx="1">
                  <c:v>16</c:v>
                </c:pt>
                <c:pt idx="2">
                  <c:v>33</c:v>
                </c:pt>
              </c:numCache>
            </c:numRef>
          </c:val>
          <c:extLst>
            <c:ext xmlns:c16="http://schemas.microsoft.com/office/drawing/2014/chart" uri="{C3380CC4-5D6E-409C-BE32-E72D297353CC}">
              <c16:uniqueId val="{00000008-32D7-4A04-AA41-D8CC08B71730}"/>
            </c:ext>
          </c:extLst>
        </c:ser>
        <c:dLbls>
          <c:showLegendKey val="0"/>
          <c:showVal val="0"/>
          <c:showCatName val="0"/>
          <c:showSerName val="0"/>
          <c:showPercent val="0"/>
          <c:showBubbleSize val="0"/>
          <c:showLeaderLines val="0"/>
        </c:dLbls>
        <c:firstSliceAng val="0"/>
        <c:holeSize val="75"/>
      </c:doughnutChart>
      <c:spPr>
        <a:noFill/>
        <a:ln>
          <a:noFill/>
        </a:ln>
        <a:effectLst>
          <a:outerShdw blurRad="50800" dist="50800" dir="5400000" sx="143000" sy="143000" algn="ctr" rotWithShape="0">
            <a:schemeClr val="tx2">
              <a:lumMod val="20000"/>
              <a:lumOff val="80000"/>
            </a:scheme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40000"/>
        <a:lumOff val="60000"/>
      </a:schemeClr>
    </a:solidFill>
    <a:ln w="9525" cap="flat" cmpd="sng" algn="ctr">
      <a:noFill/>
      <a:round/>
    </a:ln>
    <a:effectLst>
      <a:outerShdw blurRad="50800" dist="50800" dir="5400000" sx="98000" sy="98000" algn="ctr" rotWithShape="0">
        <a:schemeClr val="tx2">
          <a:lumMod val="20000"/>
          <a:lumOff val="80000"/>
        </a:schemeClr>
      </a:outerShdw>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[Management &amp; Task_Tracking_Dashboard.xlsx]Pivot_Table!PivotTable11</c:name>
    <c:fmtId val="7"/>
  </c:pivotSource>
  <c:chart>
    <c:title>
      <c:tx>
        <c:strRef>
          <c:f>Pivot_Table!$A$10:$B$10</c:f>
          <c:strCache>
            <c:ptCount val="2"/>
            <c:pt idx="0">
              <c:v>Tasks Completion Trend</c:v>
            </c:pt>
          </c:strCache>
        </c:strRef>
      </c:tx>
      <c:overlay val="0"/>
      <c:spPr>
        <a:noFill/>
        <a:ln>
          <a:noFill/>
        </a:ln>
        <a:effectLst/>
      </c:spPr>
      <c:txPr>
        <a:bodyPr rot="0" spcFirstLastPara="1" vertOverflow="ellipsis" vert="horz" wrap="square" anchor="ctr" anchorCtr="1"/>
        <a:lstStyle/>
        <a:p>
          <a:pPr>
            <a:defRPr sz="2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032581547623517E-2"/>
          <c:y val="0.25885711350818236"/>
          <c:w val="0.94393476044852187"/>
          <c:h val="0.62968613298337706"/>
        </c:manualLayout>
      </c:layout>
      <c:lineChart>
        <c:grouping val="standard"/>
        <c:varyColors val="0"/>
        <c:ser>
          <c:idx val="0"/>
          <c:order val="0"/>
          <c:tx>
            <c:strRef>
              <c:f>Pivot_Table!$A$10:$B$10</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Pivot_Table!$A$10:$B$10</c:f>
              <c:strCache>
                <c:ptCount val="3"/>
                <c:pt idx="0">
                  <c:v>&lt;04-01-2026</c:v>
                </c:pt>
                <c:pt idx="1">
                  <c:v>Jan</c:v>
                </c:pt>
                <c:pt idx="2">
                  <c:v>Feb</c:v>
                </c:pt>
              </c:strCache>
            </c:strRef>
          </c:cat>
          <c:val>
            <c:numRef>
              <c:f>Pivot_Table!$A$10:$B$10</c:f>
              <c:numCache>
                <c:formatCode>General</c:formatCode>
                <c:ptCount val="3"/>
                <c:pt idx="0">
                  <c:v>63</c:v>
                </c:pt>
                <c:pt idx="1">
                  <c:v>31</c:v>
                </c:pt>
                <c:pt idx="2">
                  <c:v>6</c:v>
                </c:pt>
              </c:numCache>
            </c:numRef>
          </c:val>
          <c:smooth val="0"/>
          <c:extLst>
            <c:ext xmlns:c16="http://schemas.microsoft.com/office/drawing/2014/chart" uri="{C3380CC4-5D6E-409C-BE32-E72D297353CC}">
              <c16:uniqueId val="{00000000-C06B-4448-B875-4541F687AC9A}"/>
            </c:ext>
          </c:extLst>
        </c:ser>
        <c:dLbls>
          <c:dLblPos val="t"/>
          <c:showLegendKey val="0"/>
          <c:showVal val="1"/>
          <c:showCatName val="0"/>
          <c:showSerName val="0"/>
          <c:showPercent val="0"/>
          <c:showBubbleSize val="0"/>
        </c:dLbls>
        <c:smooth val="0"/>
        <c:axId val="703896832"/>
        <c:axId val="703880512"/>
      </c:lineChart>
      <c:catAx>
        <c:axId val="7038968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03880512"/>
        <c:crosses val="autoZero"/>
        <c:auto val="1"/>
        <c:lblAlgn val="ctr"/>
        <c:lblOffset val="100"/>
        <c:noMultiLvlLbl val="0"/>
      </c:catAx>
      <c:valAx>
        <c:axId val="703880512"/>
        <c:scaling>
          <c:orientation val="minMax"/>
        </c:scaling>
        <c:delete val="1"/>
        <c:axPos val="l"/>
        <c:numFmt formatCode="General" sourceLinked="1"/>
        <c:majorTickMark val="none"/>
        <c:minorTickMark val="none"/>
        <c:tickLblPos val="nextTo"/>
        <c:crossAx val="703896832"/>
        <c:crosses val="autoZero"/>
        <c:crossBetween val="between"/>
      </c:valAx>
      <c:spPr>
        <a:solidFill>
          <a:schemeClr val="tx2">
            <a:lumMod val="40000"/>
            <a:lumOff val="60000"/>
          </a:schemeClr>
        </a:solidFill>
        <a:ln>
          <a:noFill/>
        </a:ln>
        <a:effectLst>
          <a:outerShdw blurRad="50800" dist="50800" dir="5400000" sx="121000" sy="121000" algn="ctr" rotWithShape="0">
            <a:schemeClr val="tx2">
              <a:lumMod val="20000"/>
              <a:lumOff val="80000"/>
            </a:scheme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40000"/>
        <a:lumOff val="60000"/>
      </a:schemeClr>
    </a:solid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18586</xdr:colOff>
      <xdr:row>7</xdr:row>
      <xdr:rowOff>148683</xdr:rowOff>
    </xdr:from>
    <xdr:to>
      <xdr:col>6</xdr:col>
      <xdr:colOff>513886</xdr:colOff>
      <xdr:row>23</xdr:row>
      <xdr:rowOff>22860</xdr:rowOff>
    </xdr:to>
    <xdr:graphicFrame macro="">
      <xdr:nvGraphicFramePr>
        <xdr:cNvPr id="2" name="Chart 1">
          <a:extLst>
            <a:ext uri="{FF2B5EF4-FFF2-40B4-BE49-F238E27FC236}">
              <a16:creationId xmlns:a16="http://schemas.microsoft.com/office/drawing/2014/main" id="{CF02BB33-9EF0-437B-93C9-6EDF769917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553658</xdr:colOff>
      <xdr:row>7</xdr:row>
      <xdr:rowOff>92926</xdr:rowOff>
    </xdr:from>
    <xdr:to>
      <xdr:col>14</xdr:col>
      <xdr:colOff>225998</xdr:colOff>
      <xdr:row>23</xdr:row>
      <xdr:rowOff>26205</xdr:rowOff>
    </xdr:to>
    <xdr:graphicFrame macro="">
      <xdr:nvGraphicFramePr>
        <xdr:cNvPr id="3" name="Chart 2">
          <a:extLst>
            <a:ext uri="{FF2B5EF4-FFF2-40B4-BE49-F238E27FC236}">
              <a16:creationId xmlns:a16="http://schemas.microsoft.com/office/drawing/2014/main" id="{CF5E9C79-5607-4790-890A-7365010F0E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13568</xdr:colOff>
      <xdr:row>23</xdr:row>
      <xdr:rowOff>50738</xdr:rowOff>
    </xdr:from>
    <xdr:to>
      <xdr:col>6</xdr:col>
      <xdr:colOff>501248</xdr:colOff>
      <xdr:row>38</xdr:row>
      <xdr:rowOff>50738</xdr:rowOff>
    </xdr:to>
    <xdr:graphicFrame macro="">
      <xdr:nvGraphicFramePr>
        <xdr:cNvPr id="5" name="Chart 4">
          <a:extLst>
            <a:ext uri="{FF2B5EF4-FFF2-40B4-BE49-F238E27FC236}">
              <a16:creationId xmlns:a16="http://schemas.microsoft.com/office/drawing/2014/main" id="{F67352D7-AADA-4C3E-A39D-5D4B67CB90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529125</xdr:colOff>
      <xdr:row>23</xdr:row>
      <xdr:rowOff>36427</xdr:rowOff>
    </xdr:from>
    <xdr:to>
      <xdr:col>14</xdr:col>
      <xdr:colOff>216705</xdr:colOff>
      <xdr:row>38</xdr:row>
      <xdr:rowOff>36427</xdr:rowOff>
    </xdr:to>
    <xdr:graphicFrame macro="">
      <xdr:nvGraphicFramePr>
        <xdr:cNvPr id="7" name="Chart 6">
          <a:extLst>
            <a:ext uri="{FF2B5EF4-FFF2-40B4-BE49-F238E27FC236}">
              <a16:creationId xmlns:a16="http://schemas.microsoft.com/office/drawing/2014/main" id="{A3BF940C-DB94-4854-96BE-080A48A4E9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22860</xdr:colOff>
      <xdr:row>0</xdr:row>
      <xdr:rowOff>7620</xdr:rowOff>
    </xdr:from>
    <xdr:to>
      <xdr:col>19</xdr:col>
      <xdr:colOff>15240</xdr:colOff>
      <xdr:row>2</xdr:row>
      <xdr:rowOff>114300</xdr:rowOff>
    </xdr:to>
    <xdr:sp macro="" textlink="">
      <xdr:nvSpPr>
        <xdr:cNvPr id="8" name="Rectangle 7">
          <a:extLst>
            <a:ext uri="{FF2B5EF4-FFF2-40B4-BE49-F238E27FC236}">
              <a16:creationId xmlns:a16="http://schemas.microsoft.com/office/drawing/2014/main" id="{1138BDEC-2FBA-3D8D-99C6-31E226EF4D0C}"/>
            </a:ext>
          </a:extLst>
        </xdr:cNvPr>
        <xdr:cNvSpPr/>
      </xdr:nvSpPr>
      <xdr:spPr>
        <a:xfrm>
          <a:off x="22860" y="7620"/>
          <a:ext cx="11574780" cy="4724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b="1"/>
            <a:t>                                     Management and Task Tracking Dashboard</a:t>
          </a:r>
        </a:p>
      </xdr:txBody>
    </xdr:sp>
    <xdr:clientData/>
  </xdr:twoCellAnchor>
  <xdr:twoCellAnchor>
    <xdr:from>
      <xdr:col>0</xdr:col>
      <xdr:colOff>45720</xdr:colOff>
      <xdr:row>2</xdr:row>
      <xdr:rowOff>121920</xdr:rowOff>
    </xdr:from>
    <xdr:to>
      <xdr:col>3</xdr:col>
      <xdr:colOff>350520</xdr:colOff>
      <xdr:row>7</xdr:row>
      <xdr:rowOff>160020</xdr:rowOff>
    </xdr:to>
    <xdr:sp macro="" textlink="KPI_Summary!B2">
      <xdr:nvSpPr>
        <xdr:cNvPr id="9" name="Rectangle: Rounded Corners 8">
          <a:extLst>
            <a:ext uri="{FF2B5EF4-FFF2-40B4-BE49-F238E27FC236}">
              <a16:creationId xmlns:a16="http://schemas.microsoft.com/office/drawing/2014/main" id="{2B0A424C-D279-64CC-43D1-567EDF8EB201}"/>
            </a:ext>
          </a:extLst>
        </xdr:cNvPr>
        <xdr:cNvSpPr/>
      </xdr:nvSpPr>
      <xdr:spPr>
        <a:xfrm>
          <a:off x="45720" y="487680"/>
          <a:ext cx="2133600" cy="952500"/>
        </a:xfrm>
        <a:prstGeom prst="round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i="0" u="none" strike="noStrike">
              <a:solidFill>
                <a:schemeClr val="tx1"/>
              </a:solidFill>
              <a:latin typeface="Aptos Narrow"/>
            </a:rPr>
            <a:t>          </a:t>
          </a:r>
          <a:fld id="{92019DEA-3B7D-41B8-9174-A725732ECAAE}" type="TxLink">
            <a:rPr lang="en-US" sz="2400" b="1" i="0" u="none" strike="noStrike">
              <a:solidFill>
                <a:schemeClr val="tx1"/>
              </a:solidFill>
              <a:latin typeface="Aptos Narrow"/>
            </a:rPr>
            <a:t>101</a:t>
          </a:fld>
          <a:r>
            <a:rPr lang="en-US" sz="1100" b="0" i="0" u="none" strike="noStrike">
              <a:solidFill>
                <a:srgbClr val="000000"/>
              </a:solidFill>
              <a:latin typeface="Aptos Narrow"/>
            </a:rPr>
            <a:t>            </a:t>
          </a:r>
        </a:p>
        <a:p>
          <a:pPr algn="l"/>
          <a:r>
            <a:rPr lang="en-US" sz="1100" b="0" i="0" u="none" strike="noStrike">
              <a:solidFill>
                <a:srgbClr val="000000"/>
              </a:solidFill>
              <a:latin typeface="Aptos Narrow"/>
            </a:rPr>
            <a:t>     </a:t>
          </a:r>
          <a:r>
            <a:rPr lang="en-US" sz="2400" b="1" i="0" u="none" strike="noStrike">
              <a:solidFill>
                <a:srgbClr val="000000"/>
              </a:solidFill>
              <a:latin typeface="Aptos Narrow"/>
            </a:rPr>
            <a:t>Total</a:t>
          </a:r>
          <a:r>
            <a:rPr lang="en-US" sz="1100" b="0" i="0" u="none" strike="noStrike">
              <a:solidFill>
                <a:srgbClr val="000000"/>
              </a:solidFill>
              <a:latin typeface="Aptos Narrow"/>
            </a:rPr>
            <a:t> </a:t>
          </a:r>
          <a:r>
            <a:rPr lang="en-US" sz="2400" b="1" i="0" u="none" strike="noStrike">
              <a:solidFill>
                <a:srgbClr val="000000"/>
              </a:solidFill>
              <a:latin typeface="Aptos Narrow"/>
            </a:rPr>
            <a:t>Tasks</a:t>
          </a:r>
          <a:endParaRPr lang="en-IN" sz="2400" b="1"/>
        </a:p>
      </xdr:txBody>
    </xdr:sp>
    <xdr:clientData/>
  </xdr:twoCellAnchor>
  <xdr:twoCellAnchor>
    <xdr:from>
      <xdr:col>3</xdr:col>
      <xdr:colOff>388620</xdr:colOff>
      <xdr:row>2</xdr:row>
      <xdr:rowOff>121920</xdr:rowOff>
    </xdr:from>
    <xdr:to>
      <xdr:col>7</xdr:col>
      <xdr:colOff>83820</xdr:colOff>
      <xdr:row>7</xdr:row>
      <xdr:rowOff>171236</xdr:rowOff>
    </xdr:to>
    <xdr:sp macro="" textlink="KPI_Summary!B3">
      <xdr:nvSpPr>
        <xdr:cNvPr id="11" name="Rectangle: Rounded Corners 10">
          <a:extLst>
            <a:ext uri="{FF2B5EF4-FFF2-40B4-BE49-F238E27FC236}">
              <a16:creationId xmlns:a16="http://schemas.microsoft.com/office/drawing/2014/main" id="{B262E557-4765-4E30-91BD-14CF14115385}"/>
            </a:ext>
          </a:extLst>
        </xdr:cNvPr>
        <xdr:cNvSpPr/>
      </xdr:nvSpPr>
      <xdr:spPr>
        <a:xfrm>
          <a:off x="2212283" y="481516"/>
          <a:ext cx="2126750" cy="948304"/>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i="0" u="none" strike="noStrike">
              <a:solidFill>
                <a:schemeClr val="tx1"/>
              </a:solidFill>
              <a:latin typeface="Aptos Narrow"/>
            </a:rPr>
            <a:t>                   </a:t>
          </a:r>
          <a:fld id="{76009D1C-6CB4-4FD7-A500-61624000B7A2}" type="TxLink">
            <a:rPr lang="en-US" sz="2800" b="1" i="0" u="none" strike="noStrike">
              <a:solidFill>
                <a:schemeClr val="tx1"/>
              </a:solidFill>
              <a:latin typeface="Aptos Narrow"/>
            </a:rPr>
            <a:t>30</a:t>
          </a:fld>
          <a:r>
            <a:rPr lang="en-US" sz="2000" b="1" i="0" u="none" strike="noStrike">
              <a:solidFill>
                <a:schemeClr val="tx1"/>
              </a:solidFill>
              <a:latin typeface="Aptos Narrow"/>
            </a:rPr>
            <a:t>          Completed Tasks</a:t>
          </a:r>
          <a:endParaRPr lang="en-IN" sz="2000" b="1">
            <a:solidFill>
              <a:schemeClr val="tx1"/>
            </a:solidFill>
          </a:endParaRPr>
        </a:p>
      </xdr:txBody>
    </xdr:sp>
    <xdr:clientData/>
  </xdr:twoCellAnchor>
  <xdr:twoCellAnchor>
    <xdr:from>
      <xdr:col>7</xdr:col>
      <xdr:colOff>121920</xdr:colOff>
      <xdr:row>2</xdr:row>
      <xdr:rowOff>114300</xdr:rowOff>
    </xdr:from>
    <xdr:to>
      <xdr:col>10</xdr:col>
      <xdr:colOff>426720</xdr:colOff>
      <xdr:row>7</xdr:row>
      <xdr:rowOff>114300</xdr:rowOff>
    </xdr:to>
    <xdr:sp macro="" textlink="KPI_Summary!B7">
      <xdr:nvSpPr>
        <xdr:cNvPr id="13" name="Rectangle: Rounded Corners 12">
          <a:extLst>
            <a:ext uri="{FF2B5EF4-FFF2-40B4-BE49-F238E27FC236}">
              <a16:creationId xmlns:a16="http://schemas.microsoft.com/office/drawing/2014/main" id="{57FB6620-0062-4336-A207-2ADCA3A9A47F}"/>
            </a:ext>
          </a:extLst>
        </xdr:cNvPr>
        <xdr:cNvSpPr/>
      </xdr:nvSpPr>
      <xdr:spPr>
        <a:xfrm>
          <a:off x="4389120" y="480060"/>
          <a:ext cx="2133600" cy="914400"/>
        </a:xfrm>
        <a:prstGeom prst="round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1" i="0" u="none" strike="noStrike">
              <a:solidFill>
                <a:srgbClr val="000000"/>
              </a:solidFill>
              <a:latin typeface="Aptos Narrow"/>
            </a:rPr>
            <a:t>           </a:t>
          </a:r>
          <a:fld id="{8AFB0C78-392F-4305-BD85-18E4CEF31D65}" type="TxLink">
            <a:rPr lang="en-US" sz="2800" b="1" i="0" u="none" strike="noStrike">
              <a:solidFill>
                <a:srgbClr val="000000"/>
              </a:solidFill>
              <a:latin typeface="Aptos Narrow"/>
            </a:rPr>
            <a:t>51</a:t>
          </a:fld>
          <a:r>
            <a:rPr lang="en-US" sz="1800" b="1" i="0" u="none" strike="noStrike">
              <a:solidFill>
                <a:srgbClr val="000000"/>
              </a:solidFill>
              <a:latin typeface="Aptos Narrow"/>
            </a:rPr>
            <a:t>                              High Priority Tasks</a:t>
          </a:r>
          <a:endParaRPr lang="en-IN" sz="1800" b="1"/>
        </a:p>
      </xdr:txBody>
    </xdr:sp>
    <xdr:clientData/>
  </xdr:twoCellAnchor>
  <xdr:twoCellAnchor>
    <xdr:from>
      <xdr:col>10</xdr:col>
      <xdr:colOff>464820</xdr:colOff>
      <xdr:row>2</xdr:row>
      <xdr:rowOff>128425</xdr:rowOff>
    </xdr:from>
    <xdr:to>
      <xdr:col>14</xdr:col>
      <xdr:colOff>160020</xdr:colOff>
      <xdr:row>7</xdr:row>
      <xdr:rowOff>102742</xdr:rowOff>
    </xdr:to>
    <xdr:sp macro="" textlink="KPI_Summary!B5">
      <xdr:nvSpPr>
        <xdr:cNvPr id="14" name="Rectangle: Rounded Corners 13">
          <a:extLst>
            <a:ext uri="{FF2B5EF4-FFF2-40B4-BE49-F238E27FC236}">
              <a16:creationId xmlns:a16="http://schemas.microsoft.com/office/drawing/2014/main" id="{2E8EEEE0-6415-4D93-A64E-3BDA63D5892C}"/>
            </a:ext>
          </a:extLst>
        </xdr:cNvPr>
        <xdr:cNvSpPr/>
      </xdr:nvSpPr>
      <xdr:spPr>
        <a:xfrm>
          <a:off x="6543696" y="488021"/>
          <a:ext cx="2126751" cy="873305"/>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i="0" u="none" strike="noStrike">
              <a:solidFill>
                <a:srgbClr val="000000"/>
              </a:solidFill>
              <a:latin typeface="Aptos Narrow"/>
            </a:rPr>
            <a:t>               </a:t>
          </a:r>
          <a:fld id="{6CE598E6-4FAC-468F-9281-50F81C119623}" type="TxLink">
            <a:rPr lang="en-US" sz="2400" b="1" i="0" u="none" strike="noStrike">
              <a:solidFill>
                <a:srgbClr val="000000"/>
              </a:solidFill>
              <a:latin typeface="Aptos Narrow"/>
            </a:rPr>
            <a:t>70</a:t>
          </a:fld>
          <a:r>
            <a:rPr lang="en-US" sz="2000" b="1" i="0" u="none" strike="noStrike">
              <a:solidFill>
                <a:srgbClr val="000000"/>
              </a:solidFill>
              <a:latin typeface="Aptos Narrow"/>
            </a:rPr>
            <a:t>  </a:t>
          </a:r>
        </a:p>
        <a:p>
          <a:pPr algn="l"/>
          <a:r>
            <a:rPr lang="en-US" sz="2000" b="1" i="0" u="none" strike="noStrike">
              <a:solidFill>
                <a:srgbClr val="000000"/>
              </a:solidFill>
              <a:latin typeface="Aptos Narrow"/>
            </a:rPr>
            <a:t>    Delayed Tasks</a:t>
          </a:r>
          <a:endParaRPr lang="en-IN" sz="2000" b="1"/>
        </a:p>
      </xdr:txBody>
    </xdr:sp>
    <xdr:clientData/>
  </xdr:twoCellAnchor>
  <xdr:twoCellAnchor editAs="oneCell">
    <xdr:from>
      <xdr:col>14</xdr:col>
      <xdr:colOff>266700</xdr:colOff>
      <xdr:row>8</xdr:row>
      <xdr:rowOff>121921</xdr:rowOff>
    </xdr:from>
    <xdr:to>
      <xdr:col>17</xdr:col>
      <xdr:colOff>266700</xdr:colOff>
      <xdr:row>15</xdr:row>
      <xdr:rowOff>167640</xdr:rowOff>
    </xdr:to>
    <mc:AlternateContent xmlns:mc="http://schemas.openxmlformats.org/markup-compatibility/2006">
      <mc:Choice xmlns:a14="http://schemas.microsoft.com/office/drawing/2010/main" Requires="a14">
        <xdr:graphicFrame macro="">
          <xdr:nvGraphicFramePr>
            <xdr:cNvPr id="16" name="Department">
              <a:extLst>
                <a:ext uri="{FF2B5EF4-FFF2-40B4-BE49-F238E27FC236}">
                  <a16:creationId xmlns:a16="http://schemas.microsoft.com/office/drawing/2014/main" id="{6E12DBE4-CD3E-4AFB-8D1D-A76678813043}"/>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8778402" y="1613495"/>
              <a:ext cx="1823936" cy="13508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281940</xdr:colOff>
      <xdr:row>16</xdr:row>
      <xdr:rowOff>7621</xdr:rowOff>
    </xdr:from>
    <xdr:to>
      <xdr:col>17</xdr:col>
      <xdr:colOff>281940</xdr:colOff>
      <xdr:row>22</xdr:row>
      <xdr:rowOff>76201</xdr:rowOff>
    </xdr:to>
    <mc:AlternateContent xmlns:mc="http://schemas.openxmlformats.org/markup-compatibility/2006">
      <mc:Choice xmlns:a14="http://schemas.microsoft.com/office/drawing/2010/main" Requires="a14">
        <xdr:graphicFrame macro="">
          <xdr:nvGraphicFramePr>
            <xdr:cNvPr id="18" name="Task Status">
              <a:extLst>
                <a:ext uri="{FF2B5EF4-FFF2-40B4-BE49-F238E27FC236}">
                  <a16:creationId xmlns:a16="http://schemas.microsoft.com/office/drawing/2014/main" id="{0F28961B-DDFA-44DB-936A-CFBF560E8EBD}"/>
                </a:ext>
              </a:extLst>
            </xdr:cNvPr>
            <xdr:cNvGraphicFramePr/>
          </xdr:nvGraphicFramePr>
          <xdr:xfrm>
            <a:off x="0" y="0"/>
            <a:ext cx="0" cy="0"/>
          </xdr:xfrm>
          <a:graphic>
            <a:graphicData uri="http://schemas.microsoft.com/office/drawing/2010/slicer">
              <sle:slicer xmlns:sle="http://schemas.microsoft.com/office/drawing/2010/slicer" name="Task Status"/>
            </a:graphicData>
          </a:graphic>
        </xdr:graphicFrame>
      </mc:Choice>
      <mc:Fallback>
        <xdr:sp macro="" textlink="">
          <xdr:nvSpPr>
            <xdr:cNvPr id="0" name=""/>
            <xdr:cNvSpPr>
              <a:spLocks noTextEdit="1"/>
            </xdr:cNvSpPr>
          </xdr:nvSpPr>
          <xdr:spPr>
            <a:xfrm>
              <a:off x="8793642" y="2990770"/>
              <a:ext cx="1823936" cy="11872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289560</xdr:colOff>
      <xdr:row>22</xdr:row>
      <xdr:rowOff>99060</xdr:rowOff>
    </xdr:from>
    <xdr:to>
      <xdr:col>17</xdr:col>
      <xdr:colOff>289560</xdr:colOff>
      <xdr:row>28</xdr:row>
      <xdr:rowOff>182879</xdr:rowOff>
    </xdr:to>
    <mc:AlternateContent xmlns:mc="http://schemas.openxmlformats.org/markup-compatibility/2006">
      <mc:Choice xmlns:a14="http://schemas.microsoft.com/office/drawing/2010/main" Requires="a14">
        <xdr:graphicFrame macro="">
          <xdr:nvGraphicFramePr>
            <xdr:cNvPr id="20" name="Priority">
              <a:extLst>
                <a:ext uri="{FF2B5EF4-FFF2-40B4-BE49-F238E27FC236}">
                  <a16:creationId xmlns:a16="http://schemas.microsoft.com/office/drawing/2014/main" id="{DDDD9211-AC92-4A94-8D1F-901EA6D3569F}"/>
                </a:ext>
              </a:extLst>
            </xdr:cNvPr>
            <xdr:cNvGraphicFramePr/>
          </xdr:nvGraphicFramePr>
          <xdr:xfrm>
            <a:off x="0" y="0"/>
            <a:ext cx="0" cy="0"/>
          </xdr:xfrm>
          <a:graphic>
            <a:graphicData uri="http://schemas.microsoft.com/office/drawing/2010/slicer">
              <sle:slicer xmlns:sle="http://schemas.microsoft.com/office/drawing/2010/slicer" name="Priority"/>
            </a:graphicData>
          </a:graphic>
        </xdr:graphicFrame>
      </mc:Choice>
      <mc:Fallback>
        <xdr:sp macro="" textlink="">
          <xdr:nvSpPr>
            <xdr:cNvPr id="0" name=""/>
            <xdr:cNvSpPr>
              <a:spLocks noTextEdit="1"/>
            </xdr:cNvSpPr>
          </xdr:nvSpPr>
          <xdr:spPr>
            <a:xfrm>
              <a:off x="8801262" y="4200890"/>
              <a:ext cx="1823936" cy="120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259080</xdr:colOff>
      <xdr:row>2</xdr:row>
      <xdr:rowOff>167640</xdr:rowOff>
    </xdr:from>
    <xdr:to>
      <xdr:col>19</xdr:col>
      <xdr:colOff>137160</xdr:colOff>
      <xdr:row>8</xdr:row>
      <xdr:rowOff>83820</xdr:rowOff>
    </xdr:to>
    <mc:AlternateContent xmlns:mc="http://schemas.openxmlformats.org/markup-compatibility/2006">
      <mc:Choice xmlns:tsle="http://schemas.microsoft.com/office/drawing/2012/timeslicer" Requires="tsle">
        <xdr:graphicFrame macro="">
          <xdr:nvGraphicFramePr>
            <xdr:cNvPr id="24" name="Completion Date">
              <a:extLst>
                <a:ext uri="{FF2B5EF4-FFF2-40B4-BE49-F238E27FC236}">
                  <a16:creationId xmlns:a16="http://schemas.microsoft.com/office/drawing/2014/main" id="{3A468DD4-2ED7-49B2-A2D6-5C460A607B28}"/>
                </a:ext>
              </a:extLst>
            </xdr:cNvPr>
            <xdr:cNvGraphicFramePr/>
          </xdr:nvGraphicFramePr>
          <xdr:xfrm>
            <a:off x="0" y="0"/>
            <a:ext cx="0" cy="0"/>
          </xdr:xfrm>
          <a:graphic>
            <a:graphicData uri="http://schemas.microsoft.com/office/drawing/2012/timeslicer">
              <tsle:timeslicer xmlns:tsle="http://schemas.microsoft.com/office/drawing/2012/timeslicer" name="Completion Date"/>
            </a:graphicData>
          </a:graphic>
        </xdr:graphicFrame>
      </mc:Choice>
      <mc:Fallback>
        <xdr:sp macro="" textlink="">
          <xdr:nvSpPr>
            <xdr:cNvPr id="0" name=""/>
            <xdr:cNvSpPr>
              <a:spLocks noTextEdit="1"/>
            </xdr:cNvSpPr>
          </xdr:nvSpPr>
          <xdr:spPr>
            <a:xfrm>
              <a:off x="8770782" y="540534"/>
              <a:ext cx="2917974" cy="103486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malatha Dodla" refreshedDate="46126.822557523148" createdVersion="8" refreshedVersion="8" minRefreshableVersion="3" recordCount="101" xr:uid="{185A2F48-E882-46E7-B562-6C2F3D17E78F}">
  <cacheSource type="worksheet">
    <worksheetSource name="Calculation"/>
  </cacheSource>
  <cacheFields count="22">
    <cacheField name="Task ID" numFmtId="0">
      <sharedItems containsBlank="1"/>
    </cacheField>
    <cacheField name="Project Name" numFmtId="0">
      <sharedItems containsBlank="1" count="9">
        <s v="Website Revamp"/>
        <s v="Marketing Campaign"/>
        <s v="Hiring Drive"/>
        <s v="Sales Report"/>
        <s v="App Development"/>
        <s v="Customer Survey"/>
        <s v="Payroll Update"/>
        <s v="Sales Target Plan"/>
        <m/>
      </sharedItems>
    </cacheField>
    <cacheField name="Department" numFmtId="0">
      <sharedItems containsBlank="1" count="5">
        <s v="IT"/>
        <s v="Marketing"/>
        <s v="HR"/>
        <s v="Sales"/>
        <m/>
      </sharedItems>
    </cacheField>
    <cacheField name="Assigned To" numFmtId="0">
      <sharedItems containsBlank="1" count="10">
        <s v="Ravi"/>
        <s v="Sneha"/>
        <s v="Rahul"/>
        <s v="Priya"/>
        <s v="Arjun"/>
        <s v="Kiran"/>
        <s v="Meena"/>
        <s v="Anil"/>
        <s v="Divya"/>
        <m/>
      </sharedItems>
    </cacheField>
    <cacheField name="Role" numFmtId="0">
      <sharedItems containsBlank="1"/>
    </cacheField>
    <cacheField name="Priority" numFmtId="0">
      <sharedItems containsBlank="1" count="4">
        <s v="High"/>
        <s v="Medium"/>
        <s v="Low"/>
        <m/>
      </sharedItems>
    </cacheField>
    <cacheField name="Task Category" numFmtId="0">
      <sharedItems containsBlank="1"/>
    </cacheField>
    <cacheField name="Start Date" numFmtId="16">
      <sharedItems containsNonDate="0" containsDate="1" containsString="0" containsBlank="1" minDate="2026-01-01T00:00:00" maxDate="2026-04-11T00:00:00"/>
    </cacheField>
    <cacheField name="Due Date" numFmtId="16">
      <sharedItems containsNonDate="0" containsDate="1" containsString="0" containsBlank="1" minDate="2026-01-05T00:00:00" maxDate="2026-02-06T00:00:00"/>
    </cacheField>
    <cacheField name="Completion Date" numFmtId="0">
      <sharedItems containsNonDate="0" containsDate="1" containsString="0" containsBlank="1" minDate="2026-01-04T00:00:00" maxDate="2026-02-06T00:00:00" count="12">
        <d v="2026-01-04T00:00:00"/>
        <d v="2026-01-07T00:00:00"/>
        <m/>
        <d v="2026-01-09T00:00:00"/>
        <d v="2026-01-12T00:00:00"/>
        <d v="2026-01-18T00:00:00"/>
        <d v="2026-01-22T00:00:00"/>
        <d v="2026-01-23T00:00:00"/>
        <d v="2026-01-27T00:00:00"/>
        <d v="2026-01-30T00:00:00"/>
        <d v="2026-02-01T00:00:00"/>
        <d v="2026-02-05T00:00:00"/>
      </sharedItems>
      <fieldGroup par="21"/>
    </cacheField>
    <cacheField name="Progress %" numFmtId="0">
      <sharedItems containsBlank="1" containsMixedTypes="1" containsNumber="1" minValue="0" maxValue="100"/>
    </cacheField>
    <cacheField name="Estimated Hours" numFmtId="0">
      <sharedItems containsString="0" containsBlank="1" containsNumber="1" minValue="1" maxValue="20"/>
    </cacheField>
    <cacheField name="Actual Hours" numFmtId="0">
      <sharedItems containsString="0" containsBlank="1" containsNumber="1" minValue="0" maxValue="32"/>
    </cacheField>
    <cacheField name="Remarks" numFmtId="0">
      <sharedItems containsBlank="1"/>
    </cacheField>
    <cacheField name="Variance" numFmtId="0">
      <sharedItems containsSemiMixedTypes="0" containsString="0" containsNumber="1" minValue="-11.52043010752689" maxValue="21"/>
    </cacheField>
    <cacheField name="Task Status" numFmtId="0">
      <sharedItems count="3">
        <s v="Completed"/>
        <s v="Delayed"/>
        <s v="In progress"/>
      </sharedItems>
    </cacheField>
    <cacheField name="Progress%" numFmtId="1">
      <sharedItems containsSemiMixedTypes="0" containsString="0" containsNumber="1" containsInteger="1" minValue="0" maxValue="100"/>
    </cacheField>
    <cacheField name="Delay" numFmtId="1">
      <sharedItems count="2">
        <s v="No"/>
        <s v="Yes"/>
      </sharedItems>
    </cacheField>
    <cacheField name="Days Taken" numFmtId="1">
      <sharedItems containsSemiMixedTypes="0" containsString="0" containsNumber="1" containsInteger="1" minValue="-46122" maxValue="7"/>
    </cacheField>
    <cacheField name="Over Due" numFmtId="1">
      <sharedItems/>
    </cacheField>
    <cacheField name="Days (Completion Date)" numFmtId="0" databaseField="0">
      <fieldGroup base="9">
        <rangePr groupBy="days" startDate="2026-01-04T00:00:00" endDate="2026-02-06T00:00:00"/>
        <groupItems count="368">
          <s v="&lt;04-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6-02-2026"/>
        </groupItems>
      </fieldGroup>
    </cacheField>
    <cacheField name="Months (Completion Date)" numFmtId="0" databaseField="0">
      <fieldGroup base="9">
        <rangePr groupBy="months" startDate="2026-01-04T00:00:00" endDate="2026-02-06T00:00:00"/>
        <groupItems count="14">
          <s v="&lt;04-01-2026"/>
          <s v="Jan"/>
          <s v="Feb"/>
          <s v="Mar"/>
          <s v="Apr"/>
          <s v="May"/>
          <s v="Jun"/>
          <s v="Jul"/>
          <s v="Aug"/>
          <s v="Sep"/>
          <s v="Oct"/>
          <s v="Nov"/>
          <s v="Dec"/>
          <s v="&gt;06-02-2026"/>
        </groupItems>
      </fieldGroup>
    </cacheField>
  </cacheFields>
  <extLst>
    <ext xmlns:x14="http://schemas.microsoft.com/office/spreadsheetml/2009/9/main" uri="{725AE2AE-9491-48be-B2B4-4EB974FC3084}">
      <x14:pivotCacheDefinition pivotCacheId="14831123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
  <r>
    <s v="T001"/>
    <x v="0"/>
    <x v="0"/>
    <x v="0"/>
    <s v="Developer"/>
    <x v="0"/>
    <s v="Development"/>
    <d v="2026-01-01T00:00:00"/>
    <d v="2026-01-05T00:00:00"/>
    <x v="0"/>
    <s v="ca"/>
    <n v="10"/>
    <n v="9"/>
    <s v="On Time"/>
    <n v="-1"/>
    <x v="0"/>
    <n v="100"/>
    <x v="0"/>
    <n v="3"/>
    <s v="No"/>
  </r>
  <r>
    <s v="T002"/>
    <x v="0"/>
    <x v="0"/>
    <x v="1"/>
    <s v="Tester"/>
    <x v="1"/>
    <s v="Testing"/>
    <d v="2026-01-02T00:00:00"/>
    <d v="2026-01-06T00:00:00"/>
    <x v="1"/>
    <n v="100"/>
    <n v="8"/>
    <n v="10"/>
    <s v="Delayed"/>
    <n v="2"/>
    <x v="1"/>
    <n v="0"/>
    <x v="1"/>
    <n v="5"/>
    <s v="Yes"/>
  </r>
  <r>
    <s v="T003"/>
    <x v="1"/>
    <x v="1"/>
    <x v="2"/>
    <s v="Analyst"/>
    <x v="0"/>
    <s v="Planning"/>
    <d v="2026-01-03T00:00:00"/>
    <d v="2026-01-08T00:00:00"/>
    <x v="2"/>
    <n v="60"/>
    <n v="12"/>
    <n v="7"/>
    <s v="Ongoing"/>
    <n v="-5"/>
    <x v="0"/>
    <n v="100"/>
    <x v="0"/>
    <n v="-46025"/>
    <s v="No"/>
  </r>
  <r>
    <s v="T004"/>
    <x v="2"/>
    <x v="2"/>
    <x v="3"/>
    <s v="Recruiter"/>
    <x v="2"/>
    <s v="Recruitment"/>
    <d v="2026-01-04T00:00:00"/>
    <d v="2026-01-10T00:00:00"/>
    <x v="2"/>
    <n v="0"/>
    <n v="6"/>
    <n v="0"/>
    <s v="Pending"/>
    <n v="-6"/>
    <x v="2"/>
    <n v="50"/>
    <x v="0"/>
    <n v="-46026"/>
    <s v="Yes"/>
  </r>
  <r>
    <s v="T005"/>
    <x v="3"/>
    <x v="3"/>
    <x v="4"/>
    <s v="Executive"/>
    <x v="0"/>
    <s v="Reporting"/>
    <d v="2026-01-05T00:00:00"/>
    <d v="2026-01-09T00:00:00"/>
    <x v="3"/>
    <n v="100"/>
    <n v="5"/>
    <n v="5"/>
    <s v="Done"/>
    <n v="0"/>
    <x v="0"/>
    <n v="100"/>
    <x v="0"/>
    <n v="4"/>
    <s v="No"/>
  </r>
  <r>
    <s v="T006"/>
    <x v="4"/>
    <x v="0"/>
    <x v="5"/>
    <s v="Developer"/>
    <x v="0"/>
    <s v="Coding"/>
    <d v="2026-01-06T00:00:00"/>
    <d v="2026-01-12T00:00:00"/>
    <x v="2"/>
    <n v="50"/>
    <n v="15"/>
    <n v="7"/>
    <s v="Ongoing"/>
    <n v="-8"/>
    <x v="0"/>
    <n v="100"/>
    <x v="0"/>
    <n v="-46028"/>
    <s v="No"/>
  </r>
  <r>
    <s v="T007"/>
    <x v="5"/>
    <x v="1"/>
    <x v="6"/>
    <s v="Analyst"/>
    <x v="1"/>
    <s v="Research"/>
    <d v="2026-01-07T00:00:00"/>
    <d v="2026-01-14T00:00:00"/>
    <x v="2"/>
    <n v="0"/>
    <n v="7"/>
    <n v="0"/>
    <s v="Pending"/>
    <n v="-7"/>
    <x v="2"/>
    <n v="50"/>
    <x v="0"/>
    <n v="-46029"/>
    <s v="Yes"/>
  </r>
  <r>
    <s v="T008"/>
    <x v="6"/>
    <x v="2"/>
    <x v="7"/>
    <s v="Manager"/>
    <x v="0"/>
    <s v="Finance"/>
    <d v="2026-01-08T00:00:00"/>
    <d v="2026-01-13T00:00:00"/>
    <x v="4"/>
    <n v="100"/>
    <n v="6"/>
    <n v="6"/>
    <s v="Done"/>
    <n v="0"/>
    <x v="0"/>
    <n v="100"/>
    <x v="0"/>
    <n v="4"/>
    <s v="No"/>
  </r>
  <r>
    <s v="T009"/>
    <x v="7"/>
    <x v="3"/>
    <x v="8"/>
    <s v="Manager"/>
    <x v="0"/>
    <s v="Planning"/>
    <d v="2026-01-09T00:00:00"/>
    <d v="2026-01-15T00:00:00"/>
    <x v="2"/>
    <n v="40"/>
    <n v="10"/>
    <n v="4"/>
    <s v="Ongoing"/>
    <n v="-6"/>
    <x v="0"/>
    <n v="100"/>
    <x v="0"/>
    <n v="-46031"/>
    <s v="No"/>
  </r>
  <r>
    <s v="T010"/>
    <x v="0"/>
    <x v="0"/>
    <x v="0"/>
    <s v="Developer"/>
    <x v="1"/>
    <s v="Bug Fix"/>
    <d v="2026-01-10T00:00:00"/>
    <d v="2026-01-16T00:00:00"/>
    <x v="2"/>
    <n v="30"/>
    <n v="8"/>
    <n v="3"/>
    <s v="Ongoing"/>
    <n v="-5"/>
    <x v="0"/>
    <n v="100"/>
    <x v="0"/>
    <n v="-46032"/>
    <s v="No"/>
  </r>
  <r>
    <s v="T011"/>
    <x v="0"/>
    <x v="0"/>
    <x v="1"/>
    <s v="Tester"/>
    <x v="2"/>
    <s v="Testing"/>
    <d v="2026-01-11T00:00:00"/>
    <d v="2026-01-17T00:00:00"/>
    <x v="2"/>
    <n v="0"/>
    <n v="6"/>
    <n v="0"/>
    <s v="Pending"/>
    <n v="-6"/>
    <x v="2"/>
    <n v="50"/>
    <x v="0"/>
    <n v="-46033"/>
    <s v="Yes"/>
  </r>
  <r>
    <s v="T012"/>
    <x v="1"/>
    <x v="1"/>
    <x v="2"/>
    <s v="Analyst"/>
    <x v="0"/>
    <s v="Execution"/>
    <d v="2026-01-12T00:00:00"/>
    <d v="2026-01-18T00:00:00"/>
    <x v="5"/>
    <n v="100"/>
    <n v="10"/>
    <n v="10"/>
    <s v="Done"/>
    <n v="0"/>
    <x v="0"/>
    <n v="100"/>
    <x v="0"/>
    <n v="6"/>
    <s v="No"/>
  </r>
  <r>
    <s v="T013"/>
    <x v="2"/>
    <x v="2"/>
    <x v="3"/>
    <s v="Recruiter"/>
    <x v="1"/>
    <s v="Screening"/>
    <d v="2026-01-13T00:00:00"/>
    <d v="2026-01-19T00:00:00"/>
    <x v="2"/>
    <n v="50"/>
    <n v="7"/>
    <n v="4"/>
    <s v="Ongoing"/>
    <n v="-3"/>
    <x v="0"/>
    <n v="100"/>
    <x v="0"/>
    <n v="-46035"/>
    <s v="No"/>
  </r>
  <r>
    <s v="T014"/>
    <x v="3"/>
    <x v="3"/>
    <x v="4"/>
    <s v="Executive"/>
    <x v="2"/>
    <s v="Analysis"/>
    <d v="2026-01-14T00:00:00"/>
    <d v="2026-01-20T00:00:00"/>
    <x v="2"/>
    <n v="0"/>
    <n v="5"/>
    <n v="0"/>
    <s v="Pending"/>
    <n v="-5"/>
    <x v="2"/>
    <n v="50"/>
    <x v="0"/>
    <n v="-46036"/>
    <s v="Yes"/>
  </r>
  <r>
    <s v="T015"/>
    <x v="4"/>
    <x v="0"/>
    <x v="5"/>
    <s v="Developer"/>
    <x v="0"/>
    <s v="Testing"/>
    <d v="2026-01-15T00:00:00"/>
    <d v="2026-01-21T00:00:00"/>
    <x v="6"/>
    <n v="100"/>
    <n v="14"/>
    <n v="16"/>
    <s v="Delayed"/>
    <n v="2"/>
    <x v="1"/>
    <n v="0"/>
    <x v="1"/>
    <n v="7"/>
    <s v="Yes"/>
  </r>
  <r>
    <s v="T016"/>
    <x v="5"/>
    <x v="1"/>
    <x v="6"/>
    <s v="Analyst"/>
    <x v="1"/>
    <s v="Data Entry"/>
    <d v="2026-01-16T00:00:00"/>
    <d v="2026-01-22T00:00:00"/>
    <x v="2"/>
    <n v="60"/>
    <n v="6"/>
    <n v="3"/>
    <s v="Ongoing"/>
    <n v="-3"/>
    <x v="0"/>
    <n v="100"/>
    <x v="0"/>
    <n v="-46038"/>
    <s v="No"/>
  </r>
  <r>
    <s v="T017"/>
    <x v="6"/>
    <x v="2"/>
    <x v="7"/>
    <s v="Manager"/>
    <x v="0"/>
    <s v="Verification"/>
    <d v="2026-01-17T00:00:00"/>
    <d v="2026-01-23T00:00:00"/>
    <x v="7"/>
    <n v="100"/>
    <n v="5"/>
    <n v="5"/>
    <s v="Done"/>
    <n v="0"/>
    <x v="0"/>
    <n v="100"/>
    <x v="0"/>
    <n v="6"/>
    <s v="No"/>
  </r>
  <r>
    <s v="T018"/>
    <x v="7"/>
    <x v="3"/>
    <x v="8"/>
    <s v="Manager"/>
    <x v="1"/>
    <s v="Execution"/>
    <d v="2026-01-18T00:00:00"/>
    <d v="2026-01-24T00:00:00"/>
    <x v="2"/>
    <n v="45"/>
    <n v="9"/>
    <n v="4"/>
    <s v="Ongoing"/>
    <n v="-5"/>
    <x v="0"/>
    <n v="100"/>
    <x v="0"/>
    <n v="-46040"/>
    <s v="No"/>
  </r>
  <r>
    <s v="T019"/>
    <x v="0"/>
    <x v="0"/>
    <x v="0"/>
    <s v="Developer"/>
    <x v="0"/>
    <s v="Development"/>
    <d v="2026-01-19T00:00:00"/>
    <d v="2026-01-25T00:00:00"/>
    <x v="2"/>
    <n v="70"/>
    <n v="12"/>
    <n v="9"/>
    <s v="Ongoing"/>
    <n v="-3"/>
    <x v="0"/>
    <n v="100"/>
    <x v="0"/>
    <n v="-46041"/>
    <s v="No"/>
  </r>
  <r>
    <s v="T020"/>
    <x v="0"/>
    <x v="0"/>
    <x v="1"/>
    <s v="Tester"/>
    <x v="1"/>
    <s v="Testing"/>
    <d v="2026-01-20T00:00:00"/>
    <d v="2026-01-26T00:00:00"/>
    <x v="2"/>
    <n v="0"/>
    <n v="8"/>
    <n v="0"/>
    <s v="Pending"/>
    <n v="-8"/>
    <x v="2"/>
    <n v="50"/>
    <x v="0"/>
    <n v="-46042"/>
    <s v="Yes"/>
  </r>
  <r>
    <s v="T021"/>
    <x v="1"/>
    <x v="1"/>
    <x v="2"/>
    <s v="Analyst"/>
    <x v="0"/>
    <s v="Design"/>
    <d v="2026-01-21T00:00:00"/>
    <d v="2026-01-27T00:00:00"/>
    <x v="8"/>
    <n v="100"/>
    <n v="10"/>
    <n v="10"/>
    <s v="Done"/>
    <n v="0"/>
    <x v="0"/>
    <n v="100"/>
    <x v="0"/>
    <n v="6"/>
    <s v="No"/>
  </r>
  <r>
    <s v="T022"/>
    <x v="2"/>
    <x v="2"/>
    <x v="3"/>
    <s v="Recruiter"/>
    <x v="2"/>
    <s v="Interview"/>
    <d v="2026-01-22T00:00:00"/>
    <d v="2026-01-28T00:00:00"/>
    <x v="2"/>
    <n v="30"/>
    <n v="6"/>
    <n v="2"/>
    <s v="Ongoing"/>
    <n v="-4"/>
    <x v="0"/>
    <n v="100"/>
    <x v="0"/>
    <n v="-46044"/>
    <s v="No"/>
  </r>
  <r>
    <s v="T023"/>
    <x v="3"/>
    <x v="3"/>
    <x v="4"/>
    <s v="Executive"/>
    <x v="0"/>
    <s v="Reporting"/>
    <d v="2026-01-23T00:00:00"/>
    <d v="2026-01-29T00:00:00"/>
    <x v="9"/>
    <n v="100"/>
    <n v="7"/>
    <n v="9"/>
    <s v="Delayed"/>
    <n v="2"/>
    <x v="1"/>
    <n v="0"/>
    <x v="1"/>
    <n v="7"/>
    <s v="Yes"/>
  </r>
  <r>
    <s v="T024"/>
    <x v="4"/>
    <x v="0"/>
    <x v="5"/>
    <s v="Developer"/>
    <x v="0"/>
    <s v="Testing"/>
    <d v="2026-01-24T00:00:00"/>
    <d v="2026-01-30T00:00:00"/>
    <x v="2"/>
    <n v="55"/>
    <n v="13"/>
    <n v="7"/>
    <s v="Ongoing"/>
    <n v="-6"/>
    <x v="0"/>
    <n v="100"/>
    <x v="0"/>
    <n v="-46046"/>
    <s v="No"/>
  </r>
  <r>
    <s v="T025"/>
    <x v="5"/>
    <x v="1"/>
    <x v="6"/>
    <s v="Analyst"/>
    <x v="1"/>
    <s v="Analysis"/>
    <d v="2026-01-25T00:00:00"/>
    <d v="2026-01-31T00:00:00"/>
    <x v="2"/>
    <n v="0"/>
    <n v="6"/>
    <n v="0"/>
    <s v="Pending"/>
    <n v="-6"/>
    <x v="2"/>
    <n v="50"/>
    <x v="0"/>
    <n v="-46047"/>
    <s v="Yes"/>
  </r>
  <r>
    <s v="T026"/>
    <x v="6"/>
    <x v="2"/>
    <x v="7"/>
    <s v="Manager"/>
    <x v="0"/>
    <s v="Calculation"/>
    <d v="2026-01-26T00:00:00"/>
    <d v="2026-02-01T00:00:00"/>
    <x v="10"/>
    <n v="100"/>
    <n v="5"/>
    <n v="5"/>
    <s v="Done"/>
    <n v="0"/>
    <x v="0"/>
    <n v="100"/>
    <x v="0"/>
    <n v="6"/>
    <s v="No"/>
  </r>
  <r>
    <s v="T027"/>
    <x v="7"/>
    <x v="3"/>
    <x v="8"/>
    <s v="Manager"/>
    <x v="1"/>
    <s v="Execution"/>
    <d v="2026-01-27T00:00:00"/>
    <d v="2026-02-02T00:00:00"/>
    <x v="2"/>
    <n v="40"/>
    <n v="5"/>
    <n v="3"/>
    <s v="Ongoing"/>
    <n v="-2"/>
    <x v="0"/>
    <n v="100"/>
    <x v="0"/>
    <n v="-46049"/>
    <s v="No"/>
  </r>
  <r>
    <s v="T028"/>
    <x v="0"/>
    <x v="0"/>
    <x v="0"/>
    <s v="Developer"/>
    <x v="2"/>
    <s v="Bug Fix"/>
    <d v="2026-01-28T00:00:00"/>
    <d v="2026-02-03T00:00:00"/>
    <x v="2"/>
    <n v="0"/>
    <n v="6"/>
    <n v="2"/>
    <s v="Pending"/>
    <n v="-4"/>
    <x v="2"/>
    <n v="50"/>
    <x v="0"/>
    <n v="-46050"/>
    <s v="Yes"/>
  </r>
  <r>
    <s v="T029"/>
    <x v="0"/>
    <x v="0"/>
    <x v="1"/>
    <s v="Tester"/>
    <x v="0"/>
    <s v="Testing"/>
    <d v="2026-01-29T00:00:00"/>
    <d v="2026-02-04T00:00:00"/>
    <x v="2"/>
    <n v="60"/>
    <n v="12"/>
    <n v="12"/>
    <s v="Ongoing"/>
    <n v="0"/>
    <x v="0"/>
    <n v="100"/>
    <x v="0"/>
    <n v="-46051"/>
    <s v="No"/>
  </r>
  <r>
    <s v="T030"/>
    <x v="1"/>
    <x v="1"/>
    <x v="2"/>
    <s v="Analyst"/>
    <x v="1"/>
    <s v="Planning"/>
    <d v="2026-01-30T00:00:00"/>
    <d v="2026-02-05T00:00:00"/>
    <x v="11"/>
    <n v="100"/>
    <n v="14"/>
    <n v="32"/>
    <s v="Done"/>
    <n v="18"/>
    <x v="0"/>
    <n v="100"/>
    <x v="0"/>
    <n v="6"/>
    <s v="No"/>
  </r>
  <r>
    <s v="T031"/>
    <x v="0"/>
    <x v="0"/>
    <x v="0"/>
    <s v="Developer"/>
    <x v="0"/>
    <s v="Development"/>
    <d v="2026-01-31T00:00:00"/>
    <d v="2026-01-05T00:00:00"/>
    <x v="0"/>
    <n v="52.850574712643699"/>
    <n v="5"/>
    <n v="5"/>
    <s v="On Time"/>
    <n v="0"/>
    <x v="0"/>
    <n v="100"/>
    <x v="0"/>
    <n v="-27"/>
    <s v="No"/>
  </r>
  <r>
    <s v="T032"/>
    <x v="0"/>
    <x v="0"/>
    <x v="1"/>
    <s v="Tester"/>
    <x v="1"/>
    <s v="Testing"/>
    <d v="2026-02-01T00:00:00"/>
    <d v="2026-01-06T00:00:00"/>
    <x v="1"/>
    <n v="43"/>
    <n v="3"/>
    <n v="4.4646644419725598"/>
    <s v="Delayed"/>
    <n v="1.4646644419725598"/>
    <x v="1"/>
    <n v="0"/>
    <x v="1"/>
    <n v="-25"/>
    <s v="Yes"/>
  </r>
  <r>
    <s v="T033"/>
    <x v="1"/>
    <x v="1"/>
    <x v="2"/>
    <s v="Analyst"/>
    <x v="0"/>
    <s v="Planning"/>
    <d v="2026-02-02T00:00:00"/>
    <d v="2026-01-08T00:00:00"/>
    <x v="2"/>
    <n v="23"/>
    <n v="15"/>
    <n v="22"/>
    <s v="Ongoing"/>
    <n v="7"/>
    <x v="0"/>
    <n v="100"/>
    <x v="0"/>
    <n v="-46055"/>
    <s v="No"/>
  </r>
  <r>
    <s v="T034"/>
    <x v="2"/>
    <x v="2"/>
    <x v="3"/>
    <s v="Recruiter"/>
    <x v="2"/>
    <s v="Recruitment"/>
    <d v="2026-02-03T00:00:00"/>
    <d v="2026-01-10T00:00:00"/>
    <x v="2"/>
    <n v="100"/>
    <n v="5"/>
    <n v="3"/>
    <s v="Pending"/>
    <n v="-2"/>
    <x v="0"/>
    <n v="100"/>
    <x v="0"/>
    <n v="-46056"/>
    <s v="No"/>
  </r>
  <r>
    <s v="T035"/>
    <x v="3"/>
    <x v="3"/>
    <x v="4"/>
    <s v="Executive"/>
    <x v="0"/>
    <s v="Reporting"/>
    <d v="2026-02-04T00:00:00"/>
    <d v="2026-01-09T00:00:00"/>
    <x v="3"/>
    <n v="23"/>
    <n v="12"/>
    <n v="15"/>
    <s v="Done"/>
    <n v="3"/>
    <x v="0"/>
    <n v="100"/>
    <x v="0"/>
    <n v="-26"/>
    <s v="No"/>
  </r>
  <r>
    <s v="T036"/>
    <x v="4"/>
    <x v="0"/>
    <x v="5"/>
    <s v="Developer"/>
    <x v="0"/>
    <s v="Coding"/>
    <d v="2026-02-05T00:00:00"/>
    <d v="2026-01-12T00:00:00"/>
    <x v="2"/>
    <n v="45"/>
    <n v="6"/>
    <n v="6"/>
    <s v="Ongoing"/>
    <n v="0"/>
    <x v="0"/>
    <n v="100"/>
    <x v="0"/>
    <n v="-46058"/>
    <s v="No"/>
  </r>
  <r>
    <s v="T037"/>
    <x v="5"/>
    <x v="1"/>
    <x v="6"/>
    <s v="Analyst"/>
    <x v="1"/>
    <s v="Research"/>
    <d v="2026-02-06T00:00:00"/>
    <d v="2026-01-14T00:00:00"/>
    <x v="2"/>
    <n v="2"/>
    <n v="5"/>
    <n v="9"/>
    <s v="Pending"/>
    <n v="4"/>
    <x v="0"/>
    <n v="100"/>
    <x v="0"/>
    <n v="-46059"/>
    <s v="No"/>
  </r>
  <r>
    <s v="T038"/>
    <x v="6"/>
    <x v="2"/>
    <x v="7"/>
    <s v="Manager"/>
    <x v="0"/>
    <s v="Finance"/>
    <d v="2026-02-07T00:00:00"/>
    <d v="2026-01-13T00:00:00"/>
    <x v="4"/>
    <n v="89"/>
    <n v="8"/>
    <n v="8"/>
    <s v="Done"/>
    <n v="0"/>
    <x v="0"/>
    <n v="100"/>
    <x v="0"/>
    <n v="-26"/>
    <s v="No"/>
  </r>
  <r>
    <s v="T039"/>
    <x v="7"/>
    <x v="3"/>
    <x v="8"/>
    <s v="Manager"/>
    <x v="0"/>
    <s v="Planning"/>
    <d v="2026-02-08T00:00:00"/>
    <d v="2026-01-15T00:00:00"/>
    <x v="2"/>
    <n v="77"/>
    <n v="7.2766036336670297"/>
    <n v="4.2092695587689999"/>
    <s v="Ongoing"/>
    <n v="-3.0673340748980298"/>
    <x v="0"/>
    <n v="100"/>
    <x v="0"/>
    <n v="-46061"/>
    <s v="No"/>
  </r>
  <r>
    <s v="T040"/>
    <x v="0"/>
    <x v="0"/>
    <x v="0"/>
    <s v="Developer"/>
    <x v="1"/>
    <s v="Bug Fix"/>
    <d v="2026-02-09T00:00:00"/>
    <d v="2026-01-16T00:00:00"/>
    <x v="2"/>
    <n v="6"/>
    <n v="2"/>
    <n v="4.1727845754541999"/>
    <s v="Ongoing"/>
    <n v="2.1727845754541999"/>
    <x v="0"/>
    <n v="100"/>
    <x v="0"/>
    <n v="-46062"/>
    <s v="No"/>
  </r>
  <r>
    <s v="T041"/>
    <x v="0"/>
    <x v="0"/>
    <x v="1"/>
    <s v="Tester"/>
    <x v="2"/>
    <s v="Testing"/>
    <d v="2026-02-10T00:00:00"/>
    <d v="2026-01-17T00:00:00"/>
    <x v="2"/>
    <n v="44"/>
    <n v="3"/>
    <n v="5"/>
    <s v="Pending"/>
    <n v="2"/>
    <x v="0"/>
    <n v="100"/>
    <x v="0"/>
    <n v="-46063"/>
    <s v="No"/>
  </r>
  <r>
    <s v="T042"/>
    <x v="1"/>
    <x v="1"/>
    <x v="2"/>
    <s v="Analyst"/>
    <x v="0"/>
    <s v="Execution"/>
    <d v="2026-02-11T00:00:00"/>
    <d v="2026-01-18T00:00:00"/>
    <x v="5"/>
    <n v="2"/>
    <n v="5"/>
    <n v="2"/>
    <s v="Done"/>
    <n v="-3"/>
    <x v="0"/>
    <n v="100"/>
    <x v="0"/>
    <n v="-24"/>
    <s v="No"/>
  </r>
  <r>
    <s v="T043"/>
    <x v="2"/>
    <x v="2"/>
    <x v="3"/>
    <s v="Recruiter"/>
    <x v="1"/>
    <s v="Screening"/>
    <d v="2026-02-12T00:00:00"/>
    <d v="2026-01-19T00:00:00"/>
    <x v="2"/>
    <n v="12"/>
    <n v="7.1137560252131999"/>
    <n v="0"/>
    <s v="Ongoing"/>
    <n v="-7.1137560252131999"/>
    <x v="0"/>
    <n v="100"/>
    <x v="0"/>
    <n v="-46065"/>
    <s v="No"/>
  </r>
  <r>
    <s v="T044"/>
    <x v="3"/>
    <x v="3"/>
    <x v="4"/>
    <s v="Executive"/>
    <x v="2"/>
    <s v="Analysis"/>
    <d v="2026-02-13T00:00:00"/>
    <d v="2026-01-20T00:00:00"/>
    <x v="2"/>
    <n v="15"/>
    <n v="8"/>
    <n v="4.0268446421950301"/>
    <s v="Pending"/>
    <n v="-3.9731553578049699"/>
    <x v="0"/>
    <n v="100"/>
    <x v="0"/>
    <n v="-46066"/>
    <s v="No"/>
  </r>
  <r>
    <s v="T045"/>
    <x v="4"/>
    <x v="0"/>
    <x v="5"/>
    <s v="Developer"/>
    <x v="0"/>
    <s v="Testing"/>
    <d v="2026-02-14T00:00:00"/>
    <d v="2026-01-21T00:00:00"/>
    <x v="6"/>
    <n v="49.704857248795001"/>
    <n v="9"/>
    <n v="12"/>
    <s v="Delayed"/>
    <n v="3"/>
    <x v="1"/>
    <n v="0"/>
    <x v="1"/>
    <n v="-23"/>
    <s v="Yes"/>
  </r>
  <r>
    <s v="T046"/>
    <x v="5"/>
    <x v="1"/>
    <x v="6"/>
    <s v="Analyst"/>
    <x v="1"/>
    <s v="Data Entry"/>
    <d v="2026-02-15T00:00:00"/>
    <d v="2026-01-22T00:00:00"/>
    <x v="2"/>
    <n v="34"/>
    <n v="6.9916203188728199"/>
    <n v="14"/>
    <s v="Ongoing"/>
    <n v="7.0083796811271801"/>
    <x v="0"/>
    <n v="100"/>
    <x v="0"/>
    <n v="-46068"/>
    <s v="No"/>
  </r>
  <r>
    <s v="T047"/>
    <x v="6"/>
    <x v="2"/>
    <x v="7"/>
    <s v="Manager"/>
    <x v="0"/>
    <s v="Verification"/>
    <d v="2026-02-16T00:00:00"/>
    <d v="2026-01-23T00:00:00"/>
    <x v="7"/>
    <n v="49.255469039673798"/>
    <n v="3"/>
    <n v="2"/>
    <s v="Done"/>
    <n v="-1"/>
    <x v="0"/>
    <n v="100"/>
    <x v="0"/>
    <n v="-24"/>
    <s v="No"/>
  </r>
  <r>
    <s v="T048"/>
    <x v="7"/>
    <x v="3"/>
    <x v="8"/>
    <s v="Manager"/>
    <x v="1"/>
    <s v="Execution"/>
    <d v="2026-02-17T00:00:00"/>
    <d v="2026-01-24T00:00:00"/>
    <x v="2"/>
    <n v="67"/>
    <n v="10"/>
    <n v="5"/>
    <s v="Ongoing"/>
    <n v="-5"/>
    <x v="0"/>
    <n v="100"/>
    <x v="0"/>
    <n v="-46070"/>
    <s v="No"/>
  </r>
  <r>
    <s v="T049"/>
    <x v="0"/>
    <x v="0"/>
    <x v="0"/>
    <s v="Developer"/>
    <x v="0"/>
    <s v="Development"/>
    <d v="2026-02-18T00:00:00"/>
    <d v="2026-01-25T00:00:00"/>
    <x v="2"/>
    <n v="4"/>
    <n v="15"/>
    <n v="8"/>
    <s v="Ongoing"/>
    <n v="-7"/>
    <x v="0"/>
    <n v="100"/>
    <x v="0"/>
    <n v="-46071"/>
    <s v="No"/>
  </r>
  <r>
    <s v="T050"/>
    <x v="0"/>
    <x v="0"/>
    <x v="1"/>
    <s v="Tester"/>
    <x v="1"/>
    <s v="Testing"/>
    <d v="2026-02-19T00:00:00"/>
    <d v="2026-01-26T00:00:00"/>
    <x v="2"/>
    <n v="77"/>
    <n v="12"/>
    <n v="9"/>
    <s v="Pending"/>
    <n v="-3"/>
    <x v="0"/>
    <n v="100"/>
    <x v="0"/>
    <n v="-46072"/>
    <s v="No"/>
  </r>
  <r>
    <s v="T051"/>
    <x v="1"/>
    <x v="1"/>
    <x v="2"/>
    <s v="Analyst"/>
    <x v="0"/>
    <s v="Design"/>
    <d v="2026-02-20T00:00:00"/>
    <d v="2026-01-27T00:00:00"/>
    <x v="8"/>
    <n v="87"/>
    <n v="6.7880608083055201"/>
    <n v="3.7714497589914702"/>
    <s v="Done"/>
    <n v="-3.0166110493140499"/>
    <x v="0"/>
    <n v="100"/>
    <x v="0"/>
    <n v="-24"/>
    <s v="No"/>
  </r>
  <r>
    <s v="T052"/>
    <x v="2"/>
    <x v="2"/>
    <x v="3"/>
    <s v="Recruiter"/>
    <x v="2"/>
    <s v="Interview"/>
    <d v="2026-02-21T00:00:00"/>
    <d v="2026-01-28T00:00:00"/>
    <x v="2"/>
    <n v="88"/>
    <n v="6"/>
    <n v="5"/>
    <s v="Ongoing"/>
    <n v="-1"/>
    <x v="0"/>
    <n v="100"/>
    <x v="0"/>
    <n v="-46074"/>
    <s v="No"/>
  </r>
  <r>
    <s v="T053"/>
    <x v="3"/>
    <x v="3"/>
    <x v="4"/>
    <s v="Executive"/>
    <x v="0"/>
    <s v="Reporting"/>
    <d v="2026-02-22T00:00:00"/>
    <d v="2026-01-29T00:00:00"/>
    <x v="9"/>
    <n v="98"/>
    <n v="8"/>
    <n v="7"/>
    <s v="Delayed"/>
    <n v="-1"/>
    <x v="1"/>
    <n v="0"/>
    <x v="1"/>
    <n v="-23"/>
    <s v="Yes"/>
  </r>
  <r>
    <s v="T054"/>
    <x v="4"/>
    <x v="0"/>
    <x v="5"/>
    <s v="Developer"/>
    <x v="0"/>
    <s v="Testing"/>
    <d v="2026-02-23T00:00:00"/>
    <d v="2026-01-30T00:00:00"/>
    <x v="2"/>
    <n v="76"/>
    <n v="9"/>
    <n v="0"/>
    <s v="Ongoing"/>
    <n v="-9"/>
    <x v="0"/>
    <n v="100"/>
    <x v="0"/>
    <n v="-46076"/>
    <s v="No"/>
  </r>
  <r>
    <s v="T055"/>
    <x v="5"/>
    <x v="1"/>
    <x v="6"/>
    <s v="Analyst"/>
    <x v="1"/>
    <s v="Analysis"/>
    <d v="2026-02-24T00:00:00"/>
    <d v="2026-01-31T00:00:00"/>
    <x v="2"/>
    <n v="12"/>
    <n v="20"/>
    <n v="12"/>
    <s v="Pending"/>
    <n v="-8"/>
    <x v="0"/>
    <n v="100"/>
    <x v="0"/>
    <n v="-46077"/>
    <s v="No"/>
  </r>
  <r>
    <s v="T056"/>
    <x v="6"/>
    <x v="2"/>
    <x v="7"/>
    <s v="Manager"/>
    <x v="0"/>
    <s v="Calculation"/>
    <d v="2026-02-25T00:00:00"/>
    <d v="2026-02-01T00:00:00"/>
    <x v="10"/>
    <n v="47.233222098628197"/>
    <n v="12"/>
    <n v="12"/>
    <s v="Done"/>
    <n v="0"/>
    <x v="0"/>
    <n v="100"/>
    <x v="0"/>
    <n v="-24"/>
    <s v="No"/>
  </r>
  <r>
    <s v="T057"/>
    <x v="7"/>
    <x v="3"/>
    <x v="8"/>
    <s v="Manager"/>
    <x v="1"/>
    <s v="Execution"/>
    <d v="2026-02-26T00:00:00"/>
    <d v="2026-02-02T00:00:00"/>
    <x v="2"/>
    <n v="14"/>
    <n v="13"/>
    <n v="3"/>
    <s v="Ongoing"/>
    <n v="-10"/>
    <x v="0"/>
    <n v="100"/>
    <x v="0"/>
    <n v="-46079"/>
    <s v="No"/>
  </r>
  <r>
    <s v="T058"/>
    <x v="0"/>
    <x v="0"/>
    <x v="0"/>
    <s v="Developer"/>
    <x v="2"/>
    <s v="Bug Fix"/>
    <d v="2026-02-27T00:00:00"/>
    <d v="2026-02-03T00:00:00"/>
    <x v="2"/>
    <n v="46.783833889506901"/>
    <n v="14"/>
    <n v="4"/>
    <s v="Pending"/>
    <n v="-10"/>
    <x v="0"/>
    <n v="100"/>
    <x v="0"/>
    <n v="-46080"/>
    <s v="No"/>
  </r>
  <r>
    <s v="T059"/>
    <x v="0"/>
    <x v="0"/>
    <x v="1"/>
    <s v="Tester"/>
    <x v="0"/>
    <s v="Testing"/>
    <d v="2026-02-28T00:00:00"/>
    <d v="2026-02-04T00:00:00"/>
    <x v="2"/>
    <n v="15"/>
    <n v="15"/>
    <n v="3.4795698924731102"/>
    <s v="Ongoing"/>
    <n v="-11.52043010752689"/>
    <x v="0"/>
    <n v="100"/>
    <x v="0"/>
    <n v="-46081"/>
    <s v="No"/>
  </r>
  <r>
    <s v="T060"/>
    <x v="1"/>
    <x v="1"/>
    <x v="2"/>
    <s v="Analyst"/>
    <x v="1"/>
    <s v="Planning"/>
    <d v="2026-03-01T00:00:00"/>
    <d v="2026-02-05T00:00:00"/>
    <x v="11"/>
    <n v="10"/>
    <n v="6.4216536892843896"/>
    <n v="6"/>
    <s v="Done"/>
    <n v="-0.42165368928438962"/>
    <x v="0"/>
    <n v="100"/>
    <x v="0"/>
    <n v="-24"/>
    <s v="No"/>
  </r>
  <r>
    <s v="T061"/>
    <x v="0"/>
    <x v="0"/>
    <x v="0"/>
    <s v="Developer"/>
    <x v="0"/>
    <s v="Development"/>
    <d v="2026-03-02T00:00:00"/>
    <d v="2026-01-05T00:00:00"/>
    <x v="0"/>
    <n v="15"/>
    <n v="7"/>
    <n v="10"/>
    <s v="On Time"/>
    <n v="3"/>
    <x v="0"/>
    <n v="100"/>
    <x v="0"/>
    <n v="-57"/>
    <s v="No"/>
  </r>
  <r>
    <s v="T062"/>
    <x v="0"/>
    <x v="0"/>
    <x v="1"/>
    <s v="Tester"/>
    <x v="1"/>
    <s v="Testing"/>
    <d v="2026-03-03T00:00:00"/>
    <d v="2026-01-06T00:00:00"/>
    <x v="1"/>
    <n v="45.885057471264403"/>
    <n v="8"/>
    <n v="11"/>
    <s v="Delayed"/>
    <n v="3"/>
    <x v="1"/>
    <n v="0"/>
    <x v="1"/>
    <n v="-55"/>
    <s v="Yes"/>
  </r>
  <r>
    <s v="T063"/>
    <x v="1"/>
    <x v="1"/>
    <x v="2"/>
    <s v="Analyst"/>
    <x v="0"/>
    <s v="Planning"/>
    <d v="2026-03-04T00:00:00"/>
    <d v="2026-01-08T00:00:00"/>
    <x v="2"/>
    <n v="34"/>
    <n v="9"/>
    <n v="14"/>
    <s v="Ongoing"/>
    <n v="5"/>
    <x v="0"/>
    <n v="100"/>
    <x v="0"/>
    <n v="-46085"/>
    <s v="No"/>
  </r>
  <r>
    <s v="T064"/>
    <x v="2"/>
    <x v="2"/>
    <x v="3"/>
    <s v="Recruiter"/>
    <x v="2"/>
    <s v="Recruitment"/>
    <d v="2026-03-05T00:00:00"/>
    <d v="2026-01-10T00:00:00"/>
    <x v="2"/>
    <n v="43"/>
    <n v="11"/>
    <n v="16"/>
    <s v="Pending"/>
    <n v="5"/>
    <x v="0"/>
    <n v="100"/>
    <x v="0"/>
    <n v="-46086"/>
    <s v="No"/>
  </r>
  <r>
    <s v="T065"/>
    <x v="3"/>
    <x v="3"/>
    <x v="4"/>
    <s v="Executive"/>
    <x v="0"/>
    <s v="Reporting"/>
    <d v="2026-03-06T00:00:00"/>
    <d v="2026-01-09T00:00:00"/>
    <x v="3"/>
    <n v="56"/>
    <n v="12"/>
    <n v="3.2606599925843498"/>
    <s v="Done"/>
    <n v="-8.7393400074156506"/>
    <x v="0"/>
    <n v="100"/>
    <x v="0"/>
    <n v="-56"/>
    <s v="No"/>
  </r>
  <r>
    <s v="T066"/>
    <x v="4"/>
    <x v="0"/>
    <x v="5"/>
    <s v="Developer"/>
    <x v="0"/>
    <s v="Coding"/>
    <d v="2026-03-07T00:00:00"/>
    <d v="2026-01-12T00:00:00"/>
    <x v="2"/>
    <n v="76"/>
    <n v="1"/>
    <n v="3"/>
    <s v="Ongoing"/>
    <n v="2"/>
    <x v="0"/>
    <n v="100"/>
    <x v="0"/>
    <n v="-46088"/>
    <s v="No"/>
  </r>
  <r>
    <s v="T067"/>
    <x v="5"/>
    <x v="1"/>
    <x v="6"/>
    <s v="Analyst"/>
    <x v="1"/>
    <s v="Research"/>
    <d v="2026-03-08T00:00:00"/>
    <d v="2026-01-14T00:00:00"/>
    <x v="2"/>
    <n v="6"/>
    <n v="12"/>
    <n v="7"/>
    <s v="Pending"/>
    <n v="-5"/>
    <x v="0"/>
    <n v="100"/>
    <x v="0"/>
    <n v="-46089"/>
    <s v="No"/>
  </r>
  <r>
    <s v="T068"/>
    <x v="6"/>
    <x v="2"/>
    <x v="7"/>
    <s v="Manager"/>
    <x v="0"/>
    <s v="Finance"/>
    <d v="2026-03-09T00:00:00"/>
    <d v="2026-01-13T00:00:00"/>
    <x v="4"/>
    <n v="76"/>
    <n v="6.0959584723767097"/>
    <n v="8"/>
    <s v="Done"/>
    <n v="1.9040415276232903"/>
    <x v="0"/>
    <n v="100"/>
    <x v="0"/>
    <n v="-56"/>
    <s v="No"/>
  </r>
  <r>
    <s v="T069"/>
    <x v="7"/>
    <x v="3"/>
    <x v="8"/>
    <s v="Manager"/>
    <x v="0"/>
    <s v="Planning"/>
    <d v="2026-03-10T00:00:00"/>
    <d v="2026-01-15T00:00:00"/>
    <x v="2"/>
    <n v="88"/>
    <n v="1"/>
    <n v="9"/>
    <s v="Ongoing"/>
    <n v="8"/>
    <x v="0"/>
    <n v="100"/>
    <x v="0"/>
    <n v="-46091"/>
    <s v="No"/>
  </r>
  <r>
    <s v="T070"/>
    <x v="0"/>
    <x v="0"/>
    <x v="0"/>
    <s v="Developer"/>
    <x v="1"/>
    <s v="Bug Fix"/>
    <d v="2026-03-11T00:00:00"/>
    <d v="2026-01-16T00:00:00"/>
    <x v="2"/>
    <n v="66"/>
    <n v="12"/>
    <n v="5"/>
    <s v="Ongoing"/>
    <n v="-7"/>
    <x v="0"/>
    <n v="100"/>
    <x v="0"/>
    <n v="-46092"/>
    <s v="No"/>
  </r>
  <r>
    <s v="T071"/>
    <x v="0"/>
    <x v="0"/>
    <x v="1"/>
    <s v="Tester"/>
    <x v="2"/>
    <s v="Testing"/>
    <d v="2026-03-12T00:00:00"/>
    <d v="2026-01-17T00:00:00"/>
    <x v="2"/>
    <n v="43.862810530218802"/>
    <n v="3"/>
    <n v="6"/>
    <s v="Pending"/>
    <n v="3"/>
    <x v="0"/>
    <n v="100"/>
    <x v="0"/>
    <n v="-46093"/>
    <s v="No"/>
  </r>
  <r>
    <s v="T072"/>
    <x v="1"/>
    <x v="1"/>
    <x v="2"/>
    <s v="Analyst"/>
    <x v="0"/>
    <s v="Execution"/>
    <d v="2026-03-13T00:00:00"/>
    <d v="2026-01-18T00:00:00"/>
    <x v="5"/>
    <n v="32"/>
    <n v="5.9331108639228702"/>
    <n v="7"/>
    <s v="Done"/>
    <n v="1.0668891360771298"/>
    <x v="0"/>
    <n v="100"/>
    <x v="0"/>
    <n v="-54"/>
    <s v="No"/>
  </r>
  <r>
    <s v="T073"/>
    <x v="2"/>
    <x v="2"/>
    <x v="3"/>
    <s v="Recruiter"/>
    <x v="1"/>
    <s v="Screening"/>
    <d v="2026-03-14T00:00:00"/>
    <d v="2026-01-19T00:00:00"/>
    <x v="2"/>
    <n v="24"/>
    <n v="4"/>
    <n v="1"/>
    <s v="Ongoing"/>
    <n v="-3"/>
    <x v="0"/>
    <n v="100"/>
    <x v="0"/>
    <n v="-46095"/>
    <s v="No"/>
  </r>
  <r>
    <s v="T074"/>
    <x v="3"/>
    <x v="3"/>
    <x v="4"/>
    <s v="Executive"/>
    <x v="2"/>
    <s v="Analysis"/>
    <d v="2026-03-15T00:00:00"/>
    <d v="2026-01-20T00:00:00"/>
    <x v="2"/>
    <n v="45"/>
    <n v="12"/>
    <n v="3"/>
    <s v="Pending"/>
    <n v="-9"/>
    <x v="0"/>
    <n v="100"/>
    <x v="0"/>
    <n v="-46096"/>
    <s v="No"/>
  </r>
  <r>
    <s v="T075"/>
    <x v="4"/>
    <x v="0"/>
    <x v="5"/>
    <s v="Developer"/>
    <x v="0"/>
    <s v="Testing"/>
    <d v="2026-03-16T00:00:00"/>
    <d v="2026-01-21T00:00:00"/>
    <x v="6"/>
    <n v="65"/>
    <n v="1"/>
    <n v="2.8958101594364098"/>
    <s v="Delayed"/>
    <n v="1.8958101594364098"/>
    <x v="1"/>
    <n v="0"/>
    <x v="1"/>
    <n v="-53"/>
    <s v="Yes"/>
  </r>
  <r>
    <s v="T076"/>
    <x v="5"/>
    <x v="1"/>
    <x v="6"/>
    <s v="Analyst"/>
    <x v="1"/>
    <s v="Data Entry"/>
    <d v="2026-03-17T00:00:00"/>
    <d v="2026-01-22T00:00:00"/>
    <x v="2"/>
    <n v="87"/>
    <n v="12"/>
    <n v="4"/>
    <s v="Ongoing"/>
    <n v="-8"/>
    <x v="0"/>
    <n v="100"/>
    <x v="0"/>
    <n v="-46098"/>
    <s v="No"/>
  </r>
  <r>
    <s v="T077"/>
    <x v="6"/>
    <x v="2"/>
    <x v="7"/>
    <s v="Manager"/>
    <x v="0"/>
    <s v="Verification"/>
    <d v="2026-03-18T00:00:00"/>
    <d v="2026-01-23T00:00:00"/>
    <x v="7"/>
    <n v="98"/>
    <n v="1"/>
    <n v="5"/>
    <s v="Done"/>
    <n v="4"/>
    <x v="0"/>
    <n v="100"/>
    <x v="0"/>
    <n v="-54"/>
    <s v="No"/>
  </r>
  <r>
    <s v="T078"/>
    <x v="7"/>
    <x v="3"/>
    <x v="8"/>
    <s v="Manager"/>
    <x v="1"/>
    <s v="Execution"/>
    <d v="2026-03-19T00:00:00"/>
    <d v="2026-01-24T00:00:00"/>
    <x v="2"/>
    <n v="15"/>
    <n v="13"/>
    <n v="6"/>
    <s v="Ongoing"/>
    <n v="-7"/>
    <x v="0"/>
    <n v="100"/>
    <x v="0"/>
    <n v="-46100"/>
    <s v="No"/>
  </r>
  <r>
    <s v="T079"/>
    <x v="0"/>
    <x v="0"/>
    <x v="0"/>
    <s v="Developer"/>
    <x v="0"/>
    <s v="Development"/>
    <d v="2026-03-20T00:00:00"/>
    <d v="2026-01-25T00:00:00"/>
    <x v="2"/>
    <n v="17"/>
    <n v="15"/>
    <n v="7"/>
    <s v="Ongoing"/>
    <n v="-8"/>
    <x v="0"/>
    <n v="100"/>
    <x v="0"/>
    <n v="-46101"/>
    <s v="No"/>
  </r>
  <r>
    <s v="T080"/>
    <x v="0"/>
    <x v="0"/>
    <x v="1"/>
    <s v="Tester"/>
    <x v="1"/>
    <s v="Testing"/>
    <d v="2026-03-21T00:00:00"/>
    <d v="2026-01-26T00:00:00"/>
    <x v="2"/>
    <n v="45"/>
    <n v="5.6074156470152001"/>
    <n v="8"/>
    <s v="Pending"/>
    <n v="2.3925843529847999"/>
    <x v="0"/>
    <n v="100"/>
    <x v="0"/>
    <n v="-46102"/>
    <s v="No"/>
  </r>
  <r>
    <s v="T081"/>
    <x v="1"/>
    <x v="1"/>
    <x v="2"/>
    <s v="Analyst"/>
    <x v="0"/>
    <s v="Design"/>
    <d v="2026-03-22T00:00:00"/>
    <d v="2026-01-27T00:00:00"/>
    <x v="8"/>
    <n v="90"/>
    <n v="17"/>
    <n v="9"/>
    <s v="Done"/>
    <n v="-8"/>
    <x v="0"/>
    <n v="100"/>
    <x v="0"/>
    <n v="-54"/>
    <s v="No"/>
  </r>
  <r>
    <s v="T082"/>
    <x v="2"/>
    <x v="2"/>
    <x v="3"/>
    <s v="Recruiter"/>
    <x v="2"/>
    <s v="Interview"/>
    <d v="2026-03-23T00:00:00"/>
    <d v="2026-01-28T00:00:00"/>
    <x v="2"/>
    <n v="65"/>
    <n v="8"/>
    <n v="1"/>
    <s v="Ongoing"/>
    <n v="-7"/>
    <x v="0"/>
    <n v="100"/>
    <x v="0"/>
    <n v="-46104"/>
    <s v="No"/>
  </r>
  <r>
    <s v="T083"/>
    <x v="3"/>
    <x v="3"/>
    <x v="4"/>
    <s v="Executive"/>
    <x v="0"/>
    <s v="Reporting"/>
    <d v="2026-03-24T00:00:00"/>
    <d v="2026-01-29T00:00:00"/>
    <x v="9"/>
    <n v="0"/>
    <n v="9"/>
    <n v="21"/>
    <s v="Delayed"/>
    <n v="12"/>
    <x v="1"/>
    <n v="0"/>
    <x v="1"/>
    <n v="-53"/>
    <s v="Yes"/>
  </r>
  <r>
    <s v="T084"/>
    <x v="4"/>
    <x v="0"/>
    <x v="5"/>
    <s v="Developer"/>
    <x v="0"/>
    <s v="Testing"/>
    <d v="2026-03-25T00:00:00"/>
    <d v="2026-01-30T00:00:00"/>
    <x v="2"/>
    <n v="0"/>
    <n v="5.4445680385613597"/>
    <n v="2.5674453096032601"/>
    <s v="Ongoing"/>
    <n v="-2.8771227289580996"/>
    <x v="2"/>
    <n v="50"/>
    <x v="0"/>
    <n v="-46106"/>
    <s v="Yes"/>
  </r>
  <r>
    <s v="T085"/>
    <x v="5"/>
    <x v="1"/>
    <x v="6"/>
    <s v="Analyst"/>
    <x v="1"/>
    <s v="Analysis"/>
    <d v="2026-03-26T00:00:00"/>
    <d v="2026-01-31T00:00:00"/>
    <x v="2"/>
    <n v="9"/>
    <n v="2"/>
    <n v="23"/>
    <s v="Pending"/>
    <n v="21"/>
    <x v="0"/>
    <n v="100"/>
    <x v="0"/>
    <n v="-46107"/>
    <s v="No"/>
  </r>
  <r>
    <s v="T086"/>
    <x v="6"/>
    <x v="2"/>
    <x v="7"/>
    <s v="Manager"/>
    <x v="0"/>
    <s v="Calculation"/>
    <d v="2026-03-27T00:00:00"/>
    <d v="2026-02-01T00:00:00"/>
    <x v="10"/>
    <n v="88"/>
    <n v="11"/>
    <n v="12"/>
    <s v="Done"/>
    <n v="1"/>
    <x v="0"/>
    <n v="100"/>
    <x v="0"/>
    <n v="-54"/>
    <s v="No"/>
  </r>
  <r>
    <s v="T087"/>
    <x v="7"/>
    <x v="3"/>
    <x v="8"/>
    <s v="Manager"/>
    <x v="1"/>
    <s v="Execution"/>
    <d v="2026-03-28T00:00:00"/>
    <d v="2026-02-02T00:00:00"/>
    <x v="2"/>
    <n v="76"/>
    <n v="13"/>
    <n v="11"/>
    <s v="Ongoing"/>
    <n v="-2"/>
    <x v="0"/>
    <n v="100"/>
    <x v="0"/>
    <n v="-46109"/>
    <s v="No"/>
  </r>
  <r>
    <s v="T088"/>
    <x v="0"/>
    <x v="0"/>
    <x v="0"/>
    <s v="Developer"/>
    <x v="2"/>
    <s v="Bug Fix"/>
    <d v="2026-03-29T00:00:00"/>
    <d v="2026-02-03T00:00:00"/>
    <x v="2"/>
    <n v="100"/>
    <n v="12"/>
    <n v="10"/>
    <s v="Pending"/>
    <n v="-2"/>
    <x v="0"/>
    <n v="100"/>
    <x v="0"/>
    <n v="-46110"/>
    <s v="No"/>
  </r>
  <r>
    <s v="T089"/>
    <x v="0"/>
    <x v="0"/>
    <x v="1"/>
    <s v="Tester"/>
    <x v="0"/>
    <s v="Testing"/>
    <d v="2026-03-30T00:00:00"/>
    <d v="2026-02-04T00:00:00"/>
    <x v="2"/>
    <n v="8"/>
    <n v="11"/>
    <n v="2.3850203930292899"/>
    <s v="Ongoing"/>
    <n v="-8.6149796069707101"/>
    <x v="0"/>
    <n v="100"/>
    <x v="0"/>
    <n v="-46111"/>
    <s v="No"/>
  </r>
  <r>
    <s v="T090"/>
    <x v="1"/>
    <x v="1"/>
    <x v="2"/>
    <s v="Analyst"/>
    <x v="1"/>
    <s v="Planning"/>
    <d v="2026-03-31T00:00:00"/>
    <d v="2026-02-05T00:00:00"/>
    <x v="11"/>
    <n v="100"/>
    <n v="12"/>
    <n v="3"/>
    <s v="Done"/>
    <n v="-9"/>
    <x v="0"/>
    <n v="100"/>
    <x v="0"/>
    <n v="-54"/>
    <s v="No"/>
  </r>
  <r>
    <s v="T091"/>
    <x v="0"/>
    <x v="0"/>
    <x v="0"/>
    <s v="Developer"/>
    <x v="0"/>
    <s v="Development"/>
    <d v="2026-04-01T00:00:00"/>
    <d v="2026-01-05T00:00:00"/>
    <x v="0"/>
    <n v="99"/>
    <n v="13"/>
    <n v="7"/>
    <s v="On Time"/>
    <n v="-6"/>
    <x v="0"/>
    <n v="100"/>
    <x v="0"/>
    <n v="-87"/>
    <s v="No"/>
  </r>
  <r>
    <s v="T092"/>
    <x v="0"/>
    <x v="0"/>
    <x v="1"/>
    <s v="Tester"/>
    <x v="1"/>
    <s v="Testing"/>
    <d v="2026-04-02T00:00:00"/>
    <d v="2026-01-06T00:00:00"/>
    <x v="1"/>
    <n v="86"/>
    <n v="12"/>
    <n v="8"/>
    <s v="Delayed"/>
    <n v="-4"/>
    <x v="1"/>
    <n v="0"/>
    <x v="1"/>
    <n v="-85"/>
    <s v="Yes"/>
  </r>
  <r>
    <s v="T093"/>
    <x v="1"/>
    <x v="1"/>
    <x v="2"/>
    <s v="Analyst"/>
    <x v="0"/>
    <s v="Planning"/>
    <d v="2026-04-03T00:00:00"/>
    <d v="2026-01-08T00:00:00"/>
    <x v="2"/>
    <n v="38.919540229885101"/>
    <n v="15"/>
    <n v="9"/>
    <s v="Ongoing"/>
    <n v="-6"/>
    <x v="0"/>
    <n v="100"/>
    <x v="0"/>
    <n v="-46115"/>
    <s v="No"/>
  </r>
  <r>
    <s v="T094"/>
    <x v="2"/>
    <x v="2"/>
    <x v="3"/>
    <s v="Recruiter"/>
    <x v="2"/>
    <s v="Recruitment"/>
    <d v="2026-04-04T00:00:00"/>
    <d v="2026-01-10T00:00:00"/>
    <x v="2"/>
    <n v="45"/>
    <n v="3"/>
    <n v="4"/>
    <s v="Pending"/>
    <n v="1"/>
    <x v="0"/>
    <n v="100"/>
    <x v="0"/>
    <n v="-46116"/>
    <s v="No"/>
  </r>
  <r>
    <s v="T095"/>
    <x v="3"/>
    <x v="3"/>
    <x v="4"/>
    <s v="Executive"/>
    <x v="0"/>
    <s v="Reporting"/>
    <d v="2026-04-05T00:00:00"/>
    <d v="2026-01-09T00:00:00"/>
    <x v="3"/>
    <n v="38.470152020763898"/>
    <n v="6"/>
    <n v="5"/>
    <s v="Done"/>
    <n v="-1"/>
    <x v="0"/>
    <n v="100"/>
    <x v="0"/>
    <n v="-86"/>
    <s v="No"/>
  </r>
  <r>
    <s v="T096"/>
    <x v="4"/>
    <x v="0"/>
    <x v="5"/>
    <s v="Developer"/>
    <x v="0"/>
    <s v="Coding"/>
    <d v="2026-04-06T00:00:00"/>
    <d v="2026-01-12T00:00:00"/>
    <x v="2"/>
    <n v="38.2454579162033"/>
    <n v="4.9560252131998501"/>
    <n v="6"/>
    <s v="Ongoing"/>
    <n v="1.0439747868001499"/>
    <x v="0"/>
    <n v="100"/>
    <x v="0"/>
    <n v="-46118"/>
    <s v="No"/>
  </r>
  <r>
    <s v="T097"/>
    <x v="5"/>
    <x v="1"/>
    <x v="6"/>
    <s v="Analyst"/>
    <x v="1"/>
    <s v="Research"/>
    <d v="2026-04-07T00:00:00"/>
    <d v="2026-01-14T00:00:00"/>
    <x v="2"/>
    <n v="6"/>
    <n v="7"/>
    <n v="8"/>
    <s v="Pending"/>
    <n v="1"/>
    <x v="0"/>
    <n v="100"/>
    <x v="0"/>
    <n v="-46119"/>
    <s v="No"/>
  </r>
  <r>
    <s v="T098"/>
    <x v="6"/>
    <x v="2"/>
    <x v="7"/>
    <s v="Manager"/>
    <x v="0"/>
    <s v="Finance"/>
    <d v="2026-04-08T00:00:00"/>
    <d v="2026-01-13T00:00:00"/>
    <x v="4"/>
    <n v="98"/>
    <n v="8"/>
    <n v="1"/>
    <s v="Done"/>
    <n v="-7"/>
    <x v="0"/>
    <n v="100"/>
    <x v="0"/>
    <n v="-86"/>
    <s v="No"/>
  </r>
  <r>
    <s v="T099"/>
    <x v="7"/>
    <x v="3"/>
    <x v="8"/>
    <s v="Manager"/>
    <x v="0"/>
    <s v="Planning"/>
    <d v="2026-04-09T00:00:00"/>
    <d v="2026-01-15T00:00:00"/>
    <x v="2"/>
    <n v="45"/>
    <n v="9"/>
    <n v="11"/>
    <s v="Ongoing"/>
    <n v="2"/>
    <x v="0"/>
    <n v="100"/>
    <x v="0"/>
    <n v="-46121"/>
    <s v="No"/>
  </r>
  <r>
    <s v="T100"/>
    <x v="0"/>
    <x v="0"/>
    <x v="0"/>
    <s v="Developer"/>
    <x v="1"/>
    <s v="Bug Fix"/>
    <d v="2026-04-10T00:00:00"/>
    <d v="2026-01-16T00:00:00"/>
    <x v="2"/>
    <n v="66"/>
    <n v="11"/>
    <n v="8"/>
    <s v="Ongoing"/>
    <n v="-3"/>
    <x v="0"/>
    <n v="100"/>
    <x v="0"/>
    <n v="-46122"/>
    <s v="No"/>
  </r>
  <r>
    <m/>
    <x v="8"/>
    <x v="4"/>
    <x v="9"/>
    <m/>
    <x v="3"/>
    <m/>
    <m/>
    <m/>
    <x v="2"/>
    <m/>
    <m/>
    <m/>
    <m/>
    <n v="0"/>
    <x v="2"/>
    <n v="50"/>
    <x v="0"/>
    <n v="0"/>
    <s v="Y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AE359C-0472-4707-9870-81CC08E84493}" name="PivotTable11" cacheId="1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11:B15" firstHeaderRow="1" firstDataRow="1" firstDataCol="1"/>
  <pivotFields count="22">
    <pivotField dataField="1" showAll="0"/>
    <pivotField showAll="0">
      <items count="10">
        <item x="4"/>
        <item x="5"/>
        <item x="2"/>
        <item x="1"/>
        <item x="6"/>
        <item x="3"/>
        <item x="7"/>
        <item x="0"/>
        <item x="8"/>
        <item t="default"/>
      </items>
    </pivotField>
    <pivotField showAll="0">
      <items count="6">
        <item x="2"/>
        <item x="0"/>
        <item x="1"/>
        <item x="3"/>
        <item x="4"/>
        <item t="default"/>
      </items>
    </pivotField>
    <pivotField showAll="0"/>
    <pivotField showAll="0"/>
    <pivotField showAll="0">
      <items count="5">
        <item x="0"/>
        <item x="2"/>
        <item x="1"/>
        <item x="3"/>
        <item t="default"/>
      </items>
    </pivotField>
    <pivotField showAll="0"/>
    <pivotField showAll="0"/>
    <pivotField showAll="0"/>
    <pivotField axis="axisRow" showAll="0">
      <items count="13">
        <item x="0"/>
        <item x="1"/>
        <item x="3"/>
        <item x="4"/>
        <item x="5"/>
        <item x="6"/>
        <item x="7"/>
        <item x="8"/>
        <item x="9"/>
        <item x="10"/>
        <item x="11"/>
        <item x="2"/>
        <item t="default"/>
      </items>
    </pivotField>
    <pivotField showAll="0"/>
    <pivotField showAll="0"/>
    <pivotField showAll="0"/>
    <pivotField showAll="0"/>
    <pivotField showAll="0"/>
    <pivotField showAll="0">
      <items count="4">
        <item x="0"/>
        <item x="1"/>
        <item x="2"/>
        <item t="default"/>
      </items>
    </pivotField>
    <pivotField numFmtId="1" showAll="0"/>
    <pivotField showAll="0"/>
    <pivotField numFmtI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1"/>
    <field x="20"/>
    <field x="9"/>
  </rowFields>
  <rowItems count="4">
    <i>
      <x/>
    </i>
    <i>
      <x v="1"/>
    </i>
    <i>
      <x v="2"/>
    </i>
    <i t="grand">
      <x/>
    </i>
  </rowItems>
  <colItems count="1">
    <i/>
  </colItems>
  <dataFields count="1">
    <dataField name="Count of Task ID" fld="0" subtotal="count" baseField="0" baseItem="0"/>
  </dataFields>
  <chartFormats count="3">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A286667-A34F-4424-B160-3805D4D41F23}" name="PivotTable10" cacheId="1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rowHeaderCaption="Assigned To">
  <location ref="G14:H25" firstHeaderRow="1" firstDataRow="1" firstDataCol="1" rowPageCount="2" colPageCount="1"/>
  <pivotFields count="22">
    <pivotField dataField="1" showAll="0"/>
    <pivotField showAll="0">
      <items count="10">
        <item x="4"/>
        <item x="5"/>
        <item x="2"/>
        <item x="1"/>
        <item x="6"/>
        <item x="3"/>
        <item x="7"/>
        <item x="0"/>
        <item x="8"/>
        <item t="default"/>
      </items>
    </pivotField>
    <pivotField showAll="0">
      <items count="6">
        <item x="2"/>
        <item x="0"/>
        <item x="1"/>
        <item x="3"/>
        <item x="4"/>
        <item t="default"/>
      </items>
    </pivotField>
    <pivotField axis="axisRow" showAll="0">
      <items count="11">
        <item x="7"/>
        <item x="4"/>
        <item x="8"/>
        <item x="5"/>
        <item x="6"/>
        <item x="3"/>
        <item x="2"/>
        <item x="0"/>
        <item x="1"/>
        <item x="9"/>
        <item t="default"/>
      </items>
    </pivotField>
    <pivotField showAll="0"/>
    <pivotField showAll="0">
      <items count="5">
        <item x="0"/>
        <item x="2"/>
        <item x="1"/>
        <item x="3"/>
        <item t="default"/>
      </items>
    </pivotField>
    <pivotField showAll="0"/>
    <pivotField showAll="0"/>
    <pivotField showAll="0"/>
    <pivotField showAll="0">
      <items count="13">
        <item x="0"/>
        <item x="1"/>
        <item x="3"/>
        <item x="4"/>
        <item x="5"/>
        <item x="6"/>
        <item x="7"/>
        <item x="8"/>
        <item x="9"/>
        <item x="10"/>
        <item x="11"/>
        <item x="2"/>
        <item t="default"/>
      </items>
    </pivotField>
    <pivotField showAll="0"/>
    <pivotField showAll="0"/>
    <pivotField showAll="0"/>
    <pivotField showAll="0"/>
    <pivotField showAll="0"/>
    <pivotField axis="axisPage" showAll="0">
      <items count="4">
        <item x="0"/>
        <item x="1"/>
        <item x="2"/>
        <item t="default"/>
      </items>
    </pivotField>
    <pivotField numFmtId="1" showAll="0"/>
    <pivotField axis="axisPage" showAll="0">
      <items count="3">
        <item x="0"/>
        <item x="1"/>
        <item t="default"/>
      </items>
    </pivotField>
    <pivotField numFmtI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11">
    <i>
      <x/>
    </i>
    <i>
      <x v="1"/>
    </i>
    <i>
      <x v="2"/>
    </i>
    <i>
      <x v="3"/>
    </i>
    <i>
      <x v="4"/>
    </i>
    <i>
      <x v="5"/>
    </i>
    <i>
      <x v="6"/>
    </i>
    <i>
      <x v="7"/>
    </i>
    <i>
      <x v="8"/>
    </i>
    <i>
      <x v="9"/>
    </i>
    <i t="grand">
      <x/>
    </i>
  </rowItems>
  <colItems count="1">
    <i/>
  </colItems>
  <pageFields count="2">
    <pageField fld="15" hier="-1"/>
    <pageField fld="17" hier="-1"/>
  </pageFields>
  <dataFields count="1">
    <dataField name="Count of Task ID" fld="0" subtotal="count" baseField="3"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0241E0-7950-4D8D-9AF8-8856C97C5043}" name="PivotTable8" cacheId="1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Project Name">
  <location ref="D11:E21" firstHeaderRow="1" firstDataRow="1" firstDataCol="1"/>
  <pivotFields count="22">
    <pivotField showAll="0"/>
    <pivotField axis="axisRow" showAll="0">
      <items count="10">
        <item x="4"/>
        <item x="5"/>
        <item x="2"/>
        <item x="1"/>
        <item x="6"/>
        <item x="3"/>
        <item x="7"/>
        <item x="0"/>
        <item x="8"/>
        <item t="default"/>
      </items>
    </pivotField>
    <pivotField showAll="0">
      <items count="6">
        <item x="2"/>
        <item x="0"/>
        <item x="1"/>
        <item x="3"/>
        <item x="4"/>
        <item t="default"/>
      </items>
    </pivotField>
    <pivotField showAll="0"/>
    <pivotField showAll="0"/>
    <pivotField showAll="0">
      <items count="5">
        <item x="0"/>
        <item x="2"/>
        <item x="1"/>
        <item x="3"/>
        <item t="default"/>
      </items>
    </pivotField>
    <pivotField showAll="0"/>
    <pivotField showAll="0"/>
    <pivotField showAll="0"/>
    <pivotField showAll="0">
      <items count="13">
        <item x="0"/>
        <item x="1"/>
        <item x="3"/>
        <item x="4"/>
        <item x="5"/>
        <item x="6"/>
        <item x="7"/>
        <item x="8"/>
        <item x="9"/>
        <item x="10"/>
        <item x="11"/>
        <item x="2"/>
        <item t="default"/>
      </items>
    </pivotField>
    <pivotField dataField="1" showAll="0"/>
    <pivotField showAll="0"/>
    <pivotField showAll="0"/>
    <pivotField showAll="0"/>
    <pivotField showAll="0"/>
    <pivotField showAll="0">
      <items count="4">
        <item x="0"/>
        <item x="1"/>
        <item x="2"/>
        <item t="default"/>
      </items>
    </pivotField>
    <pivotField numFmtId="1" showAll="0"/>
    <pivotField showAll="0"/>
    <pivotField numFmtI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0">
    <i>
      <x/>
    </i>
    <i>
      <x v="1"/>
    </i>
    <i>
      <x v="2"/>
    </i>
    <i>
      <x v="3"/>
    </i>
    <i>
      <x v="4"/>
    </i>
    <i>
      <x v="5"/>
    </i>
    <i>
      <x v="6"/>
    </i>
    <i>
      <x v="7"/>
    </i>
    <i>
      <x v="8"/>
    </i>
    <i t="grand">
      <x/>
    </i>
  </rowItems>
  <colItems count="1">
    <i/>
  </colItems>
  <dataFields count="1">
    <dataField name="Average of Progress %" fld="10"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6EA58A9-381A-4BA6-A6FB-078EDBA95FA5}" name="PivotTable7" cacheId="1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rowHeaderCaption="Priority ">
  <location ref="G2:H7" firstHeaderRow="1" firstDataRow="1" firstDataCol="1"/>
  <pivotFields count="22">
    <pivotField dataField="1" showAll="0"/>
    <pivotField showAll="0">
      <items count="10">
        <item x="4"/>
        <item x="5"/>
        <item x="2"/>
        <item x="1"/>
        <item x="6"/>
        <item x="3"/>
        <item x="7"/>
        <item x="0"/>
        <item x="8"/>
        <item t="default"/>
      </items>
    </pivotField>
    <pivotField showAll="0">
      <items count="6">
        <item x="2"/>
        <item x="0"/>
        <item x="1"/>
        <item x="3"/>
        <item x="4"/>
        <item t="default"/>
      </items>
    </pivotField>
    <pivotField showAll="0"/>
    <pivotField showAll="0"/>
    <pivotField axis="axisRow" showAll="0">
      <items count="5">
        <item x="0"/>
        <item x="2"/>
        <item x="1"/>
        <item x="3"/>
        <item t="default"/>
      </items>
    </pivotField>
    <pivotField showAll="0"/>
    <pivotField showAll="0"/>
    <pivotField showAll="0"/>
    <pivotField showAll="0">
      <items count="13">
        <item x="0"/>
        <item x="1"/>
        <item x="3"/>
        <item x="4"/>
        <item x="5"/>
        <item x="6"/>
        <item x="7"/>
        <item x="8"/>
        <item x="9"/>
        <item x="10"/>
        <item x="11"/>
        <item x="2"/>
        <item t="default"/>
      </items>
    </pivotField>
    <pivotField showAll="0"/>
    <pivotField showAll="0"/>
    <pivotField showAll="0"/>
    <pivotField showAll="0"/>
    <pivotField showAll="0"/>
    <pivotField showAll="0">
      <items count="4">
        <item x="0"/>
        <item x="1"/>
        <item x="2"/>
        <item t="default"/>
      </items>
    </pivotField>
    <pivotField numFmtId="1" showAll="0"/>
    <pivotField showAll="0"/>
    <pivotField numFmtI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5">
    <i>
      <x/>
    </i>
    <i>
      <x v="1"/>
    </i>
    <i>
      <x v="2"/>
    </i>
    <i>
      <x v="3"/>
    </i>
    <i t="grand">
      <x/>
    </i>
  </rowItems>
  <colItems count="1">
    <i/>
  </colItems>
  <dataFields count="1">
    <dataField name="Count of Task ID" fld="0" subtotal="count" baseField="0"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5" count="1" selected="0">
            <x v="0"/>
          </reference>
        </references>
      </pivotArea>
    </chartFormat>
    <chartFormat chart="3" format="8">
      <pivotArea type="data" outline="0" fieldPosition="0">
        <references count="2">
          <reference field="4294967294" count="1" selected="0">
            <x v="0"/>
          </reference>
          <reference field="5" count="1" selected="0">
            <x v="1"/>
          </reference>
        </references>
      </pivotArea>
    </chartFormat>
    <chartFormat chart="3" format="9">
      <pivotArea type="data" outline="0" fieldPosition="0">
        <references count="2">
          <reference field="4294967294" count="1" selected="0">
            <x v="0"/>
          </reference>
          <reference field="5" count="1" selected="0">
            <x v="2"/>
          </reference>
        </references>
      </pivotArea>
    </chartFormat>
    <chartFormat chart="3" format="10">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ABB610C-8337-49E7-9835-E33523CF1B87}" name="PivotTable6" cacheId="1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Assigned To">
  <location ref="J4:K15" firstHeaderRow="1" firstDataRow="1" firstDataCol="1" rowPageCount="1" colPageCount="1"/>
  <pivotFields count="22">
    <pivotField dataField="1" showAll="0"/>
    <pivotField showAll="0">
      <items count="10">
        <item x="4"/>
        <item x="5"/>
        <item x="2"/>
        <item x="1"/>
        <item x="6"/>
        <item x="3"/>
        <item x="7"/>
        <item x="0"/>
        <item x="8"/>
        <item t="default"/>
      </items>
    </pivotField>
    <pivotField showAll="0">
      <items count="6">
        <item x="2"/>
        <item x="0"/>
        <item x="1"/>
        <item x="3"/>
        <item x="4"/>
        <item t="default"/>
      </items>
    </pivotField>
    <pivotField axis="axisRow" showAll="0">
      <items count="11">
        <item x="7"/>
        <item x="4"/>
        <item x="8"/>
        <item x="5"/>
        <item x="6"/>
        <item x="3"/>
        <item x="2"/>
        <item x="0"/>
        <item x="1"/>
        <item x="9"/>
        <item t="default"/>
      </items>
    </pivotField>
    <pivotField showAll="0"/>
    <pivotField showAll="0">
      <items count="5">
        <item x="0"/>
        <item x="2"/>
        <item x="1"/>
        <item x="3"/>
        <item t="default"/>
      </items>
    </pivotField>
    <pivotField showAll="0"/>
    <pivotField showAll="0"/>
    <pivotField showAll="0"/>
    <pivotField showAll="0">
      <items count="13">
        <item x="0"/>
        <item x="1"/>
        <item x="3"/>
        <item x="4"/>
        <item x="5"/>
        <item x="6"/>
        <item x="7"/>
        <item x="8"/>
        <item x="9"/>
        <item x="10"/>
        <item x="11"/>
        <item x="2"/>
        <item t="default"/>
      </items>
    </pivotField>
    <pivotField showAll="0"/>
    <pivotField showAll="0"/>
    <pivotField showAll="0"/>
    <pivotField showAll="0"/>
    <pivotField showAll="0"/>
    <pivotField axis="axisPage" showAll="0">
      <items count="4">
        <item x="0"/>
        <item x="1"/>
        <item x="2"/>
        <item t="default"/>
      </items>
    </pivotField>
    <pivotField numFmtId="1" showAll="0"/>
    <pivotField showAll="0"/>
    <pivotField numFmtI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11">
    <i>
      <x/>
    </i>
    <i>
      <x v="1"/>
    </i>
    <i>
      <x v="2"/>
    </i>
    <i>
      <x v="3"/>
    </i>
    <i>
      <x v="4"/>
    </i>
    <i>
      <x v="5"/>
    </i>
    <i>
      <x v="6"/>
    </i>
    <i>
      <x v="7"/>
    </i>
    <i>
      <x v="8"/>
    </i>
    <i>
      <x v="9"/>
    </i>
    <i t="grand">
      <x/>
    </i>
  </rowItems>
  <colItems count="1">
    <i/>
  </colItems>
  <pageFields count="1">
    <pageField fld="15" hier="-1"/>
  </pageFields>
  <dataFields count="1">
    <dataField name="Count of Task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E74F548-4195-4D41-B275-F4C208D81C80}" name="PivotTable5" cacheId="1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rowHeaderCaption="Department">
  <location ref="D2:E8" firstHeaderRow="1" firstDataRow="1" firstDataCol="1"/>
  <pivotFields count="22">
    <pivotField dataField="1" showAll="0"/>
    <pivotField showAll="0">
      <items count="10">
        <item x="4"/>
        <item x="5"/>
        <item x="2"/>
        <item x="1"/>
        <item x="6"/>
        <item x="3"/>
        <item x="7"/>
        <item x="0"/>
        <item x="8"/>
        <item t="default"/>
      </items>
    </pivotField>
    <pivotField axis="axisRow" showAll="0">
      <items count="6">
        <item x="2"/>
        <item x="0"/>
        <item x="1"/>
        <item x="3"/>
        <item x="4"/>
        <item t="default"/>
      </items>
    </pivotField>
    <pivotField showAll="0"/>
    <pivotField showAll="0"/>
    <pivotField showAll="0">
      <items count="5">
        <item x="0"/>
        <item x="2"/>
        <item x="1"/>
        <item x="3"/>
        <item t="default"/>
      </items>
    </pivotField>
    <pivotField showAll="0"/>
    <pivotField showAll="0"/>
    <pivotField showAll="0"/>
    <pivotField showAll="0">
      <items count="13">
        <item x="0"/>
        <item x="1"/>
        <item x="3"/>
        <item x="4"/>
        <item x="5"/>
        <item x="6"/>
        <item x="7"/>
        <item x="8"/>
        <item x="9"/>
        <item x="10"/>
        <item x="11"/>
        <item x="2"/>
        <item t="default"/>
      </items>
    </pivotField>
    <pivotField showAll="0"/>
    <pivotField showAll="0"/>
    <pivotField showAll="0"/>
    <pivotField showAll="0"/>
    <pivotField showAll="0"/>
    <pivotField showAll="0" sortType="ascending">
      <items count="4">
        <item x="0"/>
        <item x="1"/>
        <item x="2"/>
        <item t="default"/>
      </items>
    </pivotField>
    <pivotField numFmtId="1" showAll="0"/>
    <pivotField showAll="0"/>
    <pivotField numFmtI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Count of Task ID"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BC94A09-4DED-4CE9-8C73-C40D87B91D16}" name="PivotTable4" cacheId="1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rowHeaderCaption="Task Status">
  <location ref="A2:B6" firstHeaderRow="1" firstDataRow="1" firstDataCol="1"/>
  <pivotFields count="22">
    <pivotField dataField="1" showAll="0"/>
    <pivotField showAll="0">
      <items count="10">
        <item x="4"/>
        <item x="5"/>
        <item x="2"/>
        <item x="1"/>
        <item x="6"/>
        <item x="3"/>
        <item x="7"/>
        <item x="0"/>
        <item x="8"/>
        <item t="default"/>
      </items>
    </pivotField>
    <pivotField showAll="0">
      <items count="6">
        <item x="2"/>
        <item x="0"/>
        <item x="1"/>
        <item x="3"/>
        <item x="4"/>
        <item t="default"/>
      </items>
    </pivotField>
    <pivotField showAll="0"/>
    <pivotField showAll="0"/>
    <pivotField showAll="0">
      <items count="5">
        <item x="0"/>
        <item x="2"/>
        <item x="1"/>
        <item x="3"/>
        <item t="default"/>
      </items>
    </pivotField>
    <pivotField showAll="0"/>
    <pivotField showAll="0"/>
    <pivotField showAll="0"/>
    <pivotField showAll="0">
      <items count="13">
        <item x="0"/>
        <item x="1"/>
        <item x="3"/>
        <item x="4"/>
        <item x="5"/>
        <item x="6"/>
        <item x="7"/>
        <item x="8"/>
        <item x="9"/>
        <item x="10"/>
        <item x="11"/>
        <item x="2"/>
        <item t="default"/>
      </items>
    </pivotField>
    <pivotField showAll="0"/>
    <pivotField showAll="0"/>
    <pivotField showAll="0"/>
    <pivotField showAll="0"/>
    <pivotField showAll="0"/>
    <pivotField axis="axisRow" showAll="0">
      <items count="4">
        <item x="0"/>
        <item x="1"/>
        <item x="2"/>
        <item t="default"/>
      </items>
    </pivotField>
    <pivotField numFmtId="1" showAll="0"/>
    <pivotField showAll="0"/>
    <pivotField numFmtI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4">
    <i>
      <x/>
    </i>
    <i>
      <x v="1"/>
    </i>
    <i>
      <x v="2"/>
    </i>
    <i t="grand">
      <x/>
    </i>
  </rowItems>
  <colItems count="1">
    <i/>
  </colItems>
  <dataFields count="1">
    <dataField name="Count of Task ID"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CACFCD8-69F5-42A8-B2A5-7ABEBBE23AED}" sourceName="Department">
  <pivotTables>
    <pivotTable tabId="7" name="PivotTable6"/>
    <pivotTable tabId="7" name="PivotTable10"/>
    <pivotTable tabId="7" name="PivotTable11"/>
    <pivotTable tabId="7" name="PivotTable4"/>
    <pivotTable tabId="7" name="PivotTable5"/>
    <pivotTable tabId="7" name="PivotTable7"/>
    <pivotTable tabId="7" name="PivotTable8"/>
  </pivotTables>
  <data>
    <tabular pivotCacheId="1483112303">
      <items count="5">
        <i x="2" s="1"/>
        <i x="0" s="1"/>
        <i x="1" s="1"/>
        <i x="3"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sk_Status" xr10:uid="{0A96FCDF-BB5E-408B-AE34-95B7F0A78967}" sourceName="Task Status">
  <pivotTables>
    <pivotTable tabId="7" name="PivotTable6"/>
    <pivotTable tabId="7" name="PivotTable10"/>
    <pivotTable tabId="7" name="PivotTable11"/>
    <pivotTable tabId="7" name="PivotTable4"/>
    <pivotTable tabId="7" name="PivotTable5"/>
    <pivotTable tabId="7" name="PivotTable7"/>
    <pivotTable tabId="7" name="PivotTable8"/>
  </pivotTables>
  <data>
    <tabular pivotCacheId="1483112303">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ority" xr10:uid="{D27F526A-5462-4D61-BE4D-7BF2549DAD32}" sourceName="Priority">
  <pivotTables>
    <pivotTable tabId="7" name="PivotTable6"/>
    <pivotTable tabId="7" name="PivotTable10"/>
    <pivotTable tabId="7" name="PivotTable11"/>
    <pivotTable tabId="7" name="PivotTable4"/>
    <pivotTable tabId="7" name="PivotTable5"/>
    <pivotTable tabId="7" name="PivotTable7"/>
    <pivotTable tabId="7" name="PivotTable8"/>
  </pivotTables>
  <data>
    <tabular pivotCacheId="1483112303">
      <items count="4">
        <i x="0" s="1"/>
        <i x="2" s="1"/>
        <i x="1"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3A65B03E-2FDE-4F7A-9610-DFC6C2C25EBC}" cache="Slicer_Department" caption="Department" startItem="2" style="SlicerStyleLight5" rowHeight="247650"/>
  <slicer name="Task Status" xr10:uid="{231B7359-7236-43EA-BD5C-F13058D85C93}" cache="Slicer_Task_Status" caption="Task Status" style="SlicerStyleLight3" rowHeight="247650"/>
  <slicer name="Priority" xr10:uid="{7512531F-BCE1-4806-94E0-669C3CCEF009}" cache="Slicer_Priority" caption="Priority" style="SlicerStyleOther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33F1699-3057-41E4-B8A7-F48ED9755AB3}" name="Table3" displayName="Table3" ref="A1:M101" totalsRowShown="0">
  <tableColumns count="13">
    <tableColumn id="1" xr3:uid="{73A3250D-D0BA-4807-9139-2BCC7FE56BCA}" name="Task ID"/>
    <tableColumn id="2" xr3:uid="{AAB7A960-90F1-4ED0-9934-2E7F49E3C126}" name="Project Name"/>
    <tableColumn id="3" xr3:uid="{91DFD096-E054-4441-BBFA-FCA352350A55}" name="Department"/>
    <tableColumn id="4" xr3:uid="{9CD3F866-964F-44DB-87EA-6439F4D41722}" name="Assigned To"/>
    <tableColumn id="5" xr3:uid="{EA5A74C7-4115-4F35-88A6-145F1775B590}" name="Role"/>
    <tableColumn id="6" xr3:uid="{6BBB169B-1416-4854-AE5E-03FBDCE6A21B}" name="Priority"/>
    <tableColumn id="7" xr3:uid="{FD02AD8B-A4AB-4B07-8E9D-5BCE01077AB9}" name="Task Category"/>
    <tableColumn id="8" xr3:uid="{977C4598-FE0C-4416-A11F-C9E0506A1E1B}" name="Start Date" dataDxfId="3"/>
    <tableColumn id="9" xr3:uid="{755ABE97-F0AB-429D-AE9E-F21549F32B28}" name="Due Date" dataDxfId="2"/>
    <tableColumn id="10" xr3:uid="{5B01A7A7-04DC-4730-B189-0E179F6567D3}" name="Completion Date"/>
    <tableColumn id="11" xr3:uid="{2BAFB0A0-CEC8-48B6-9310-D4ABEFFFF6F6}" name="Estimated Hours" dataDxfId="1"/>
    <tableColumn id="12" xr3:uid="{2EED81AE-7D73-4CEF-BE4B-B9F94A74BB89}" name="Actual Hours" dataDxfId="0"/>
    <tableColumn id="13" xr3:uid="{849B63AE-35A2-4D8A-A89A-C85B0C304621}" name="Remark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9F5DB5B-4BAA-4997-A819-8575449FED56}" name="Calculation" displayName="Calculation" ref="A1:T102" totalsRowShown="0">
  <autoFilter ref="A1:T102" xr:uid="{C9F5DB5B-4BAA-4997-A819-8575449FED56}"/>
  <tableColumns count="20">
    <tableColumn id="1" xr3:uid="{612A2967-0D6A-45BA-8DFF-196C62155E8C}" name="Task ID"/>
    <tableColumn id="2" xr3:uid="{C82D03A0-A0C3-4CD5-94EA-1ADED4C9DA69}" name="Project Name"/>
    <tableColumn id="3" xr3:uid="{0B86EB98-E045-4974-B70D-8D622C10E87C}" name="Department"/>
    <tableColumn id="4" xr3:uid="{60058F2B-B523-4697-973E-E9C3E41525C3}" name="Assigned To"/>
    <tableColumn id="5" xr3:uid="{2888D996-3A65-4E24-AB2E-73093D1FF8B7}" name="Role"/>
    <tableColumn id="6" xr3:uid="{2E631977-0615-446D-ABF7-1DC3C109DB2B}" name="Priority"/>
    <tableColumn id="7" xr3:uid="{AC3B4915-80A9-404E-B51A-AEAB961877C9}" name="Task Category"/>
    <tableColumn id="8" xr3:uid="{03CAE178-75BD-48E7-946A-67CEE84B73DC}" name="Start Date" dataDxfId="14"/>
    <tableColumn id="9" xr3:uid="{C19C1484-54E1-490E-8AED-55B1C726F86A}" name="Due Date" dataDxfId="13"/>
    <tableColumn id="10" xr3:uid="{53E2F992-8551-4ADA-9ACB-0BAAAE80657C}" name="Completion Date"/>
    <tableColumn id="12" xr3:uid="{F22F603B-3D88-414A-BCC6-896922D65A55}" name="Progress %" dataDxfId="6"/>
    <tableColumn id="13" xr3:uid="{9852E762-B385-4C1B-B06F-BBE8587183FB}" name="Estimated Hours" dataDxfId="12"/>
    <tableColumn id="14" xr3:uid="{01CF91BF-386C-4DBA-B190-50D45BD79984}" name="Actual Hours" dataDxfId="11"/>
    <tableColumn id="21" xr3:uid="{69944C95-B6AC-4FF9-8EF5-4BF1C16CFA4A}" name="Remarks" dataDxfId="4"/>
    <tableColumn id="15" xr3:uid="{4B7533A2-848A-4B52-97F7-52E7D3E0204B}" name="Variance">
      <calculatedColumnFormula>M2-L2</calculatedColumnFormula>
    </tableColumn>
    <tableColumn id="16" xr3:uid="{D0ACA763-C5DC-4AF9-B84E-82B1B209BD05}" name="Task Status" dataDxfId="10">
      <calculatedColumnFormula>IF(Calculation[[#This Row],[Completion Date]]=Calculation[[#This Row],[Progress %]],"In progress",IF(Calculation[[#This Row],[Completion Date]]&gt;Calculation[[#This Row],[Due Date]],"Delayed","Completed"))</calculatedColumnFormula>
    </tableColumn>
    <tableColumn id="17" xr3:uid="{DEC09107-270C-4805-BFDC-2CF8BF3929AE}" name="Progress%" dataDxfId="9">
      <calculatedColumnFormula>IF(Calculation[[#This Row],[Task Status]]="Completed",100,IF(Calculation[[#This Row],[Task Status]]="In Progress",50,0))</calculatedColumnFormula>
    </tableColumn>
    <tableColumn id="18" xr3:uid="{6F05EF28-99E2-4356-BBC1-B074DD90081D}" name="Delay" dataDxfId="8">
      <calculatedColumnFormula>IF(Calculation[[#This Row],[Completion Date]]&gt;Calculation[[#This Row],[Due Date]],"Yes","No")</calculatedColumnFormula>
    </tableColumn>
    <tableColumn id="19" xr3:uid="{30985212-4942-4C33-A725-16BFA0FBA138}" name="Days Taken" dataDxfId="7">
      <calculatedColumnFormula>J2-H2</calculatedColumnFormula>
    </tableColumn>
    <tableColumn id="20" xr3:uid="{18BC32A1-9109-488F-91A0-951107857FC4}" name="Over Due" dataDxfId="5">
      <calculatedColumnFormula>IF(AND(Calculation[[#This Row],[Task Status]]&lt;&gt;"Completed",TODAY()&gt;Calculation[[#This Row],[Due Date]]),"Yes","No")</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E0D6A8F-5E84-41FF-B86E-9512496392F6}" name="Table4" displayName="Table4" ref="A1:B9" totalsRowShown="0">
  <autoFilter ref="A1:B9" xr:uid="{2E0D6A8F-5E84-41FF-B86E-9512496392F6}"/>
  <tableColumns count="2">
    <tableColumn id="1" xr3:uid="{8D2C9941-01EC-43C3-83E5-0074C334D7A2}" name="KPI Summary"/>
    <tableColumn id="2" xr3:uid="{2267F3B9-1711-44ED-BD1E-9F517B3B5D7A}" name="Valu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Completion_Date" xr10:uid="{49CADB76-A92D-4D49-BF8A-895D5D123268}" sourceName="Completion Date">
  <pivotTables>
    <pivotTable tabId="7" name="PivotTable5"/>
    <pivotTable tabId="7" name="PivotTable10"/>
    <pivotTable tabId="7" name="PivotTable11"/>
    <pivotTable tabId="7" name="PivotTable4"/>
    <pivotTable tabId="7" name="PivotTable6"/>
    <pivotTable tabId="7" name="PivotTable7"/>
    <pivotTable tabId="7" name="PivotTable8"/>
  </pivotTables>
  <state minimalRefreshVersion="6" lastRefreshVersion="6" pivotCacheId="1483112303" filterType="unknown">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Completion Date" xr10:uid="{28F68367-87EF-404F-8E63-9A3DD0961716}" cache="NativeTimeline_Completion_Date" caption="Completion Date" level="2" selectionLevel="2" scrollPosition="2026-05-19T00:00:00"/>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2CF0D-D8A5-4631-9832-C4C7018D8099}">
  <dimension ref="A1:M101"/>
  <sheetViews>
    <sheetView workbookViewId="0">
      <selection activeCell="P88" sqref="P88"/>
    </sheetView>
  </sheetViews>
  <sheetFormatPr defaultRowHeight="14.4" x14ac:dyDescent="0.3"/>
  <cols>
    <col min="2" max="2" width="17.5546875" bestFit="1" customWidth="1"/>
    <col min="3" max="3" width="10.5546875" bestFit="1" customWidth="1"/>
    <col min="4" max="4" width="10.44140625" bestFit="1" customWidth="1"/>
    <col min="5" max="5" width="9.109375" bestFit="1" customWidth="1"/>
    <col min="6" max="6" width="7.44140625" bestFit="1" customWidth="1"/>
    <col min="7" max="7" width="12.109375" bestFit="1" customWidth="1"/>
    <col min="9" max="9" width="8.33203125" bestFit="1" customWidth="1"/>
    <col min="10" max="10" width="14.44140625" bestFit="1" customWidth="1"/>
    <col min="11" max="11" width="14.33203125" bestFit="1" customWidth="1"/>
    <col min="12" max="12" width="12" bestFit="1" customWidth="1"/>
    <col min="13" max="13" width="8.109375" bestFit="1" customWidth="1"/>
  </cols>
  <sheetData>
    <row r="1" spans="1:13" x14ac:dyDescent="0.3">
      <c r="A1" t="s">
        <v>0</v>
      </c>
      <c r="B1" t="s">
        <v>1</v>
      </c>
      <c r="C1" t="s">
        <v>2</v>
      </c>
      <c r="D1" t="s">
        <v>3</v>
      </c>
      <c r="E1" t="s">
        <v>4</v>
      </c>
      <c r="F1" t="s">
        <v>5</v>
      </c>
      <c r="G1" t="s">
        <v>6</v>
      </c>
      <c r="H1" t="s">
        <v>7</v>
      </c>
      <c r="I1" t="s">
        <v>8</v>
      </c>
      <c r="J1" t="s">
        <v>9</v>
      </c>
      <c r="K1" t="s">
        <v>12</v>
      </c>
      <c r="L1" t="s">
        <v>13</v>
      </c>
      <c r="M1" t="s">
        <v>15</v>
      </c>
    </row>
    <row r="2" spans="1:13" x14ac:dyDescent="0.3">
      <c r="A2" t="s">
        <v>16</v>
      </c>
      <c r="B2" t="s">
        <v>17</v>
      </c>
      <c r="C2" t="s">
        <v>18</v>
      </c>
      <c r="D2" t="s">
        <v>19</v>
      </c>
      <c r="E2" t="s">
        <v>20</v>
      </c>
      <c r="F2" t="s">
        <v>21</v>
      </c>
      <c r="G2" t="s">
        <v>22</v>
      </c>
      <c r="H2" s="1">
        <v>46023</v>
      </c>
      <c r="I2" s="1">
        <v>46027</v>
      </c>
      <c r="J2" s="1">
        <v>46026</v>
      </c>
      <c r="K2">
        <v>10</v>
      </c>
      <c r="L2">
        <v>9</v>
      </c>
      <c r="M2" t="s">
        <v>24</v>
      </c>
    </row>
    <row r="3" spans="1:13" x14ac:dyDescent="0.3">
      <c r="A3" t="s">
        <v>25</v>
      </c>
      <c r="B3" t="s">
        <v>17</v>
      </c>
      <c r="C3" t="s">
        <v>18</v>
      </c>
      <c r="D3" t="s">
        <v>26</v>
      </c>
      <c r="E3" t="s">
        <v>27</v>
      </c>
      <c r="F3" t="s">
        <v>28</v>
      </c>
      <c r="G3" t="s">
        <v>29</v>
      </c>
      <c r="H3" s="1">
        <v>46024</v>
      </c>
      <c r="I3" s="1">
        <v>46028</v>
      </c>
      <c r="J3" s="1">
        <v>46027</v>
      </c>
      <c r="K3">
        <v>8</v>
      </c>
      <c r="L3">
        <v>10</v>
      </c>
      <c r="M3" t="s">
        <v>30</v>
      </c>
    </row>
    <row r="4" spans="1:13" x14ac:dyDescent="0.3">
      <c r="A4" t="s">
        <v>31</v>
      </c>
      <c r="B4" t="s">
        <v>32</v>
      </c>
      <c r="C4" t="s">
        <v>33</v>
      </c>
      <c r="D4" t="s">
        <v>34</v>
      </c>
      <c r="E4" t="s">
        <v>35</v>
      </c>
      <c r="F4" t="s">
        <v>21</v>
      </c>
      <c r="G4" t="s">
        <v>36</v>
      </c>
      <c r="H4" s="1">
        <v>46025</v>
      </c>
      <c r="I4" s="1">
        <v>46030</v>
      </c>
      <c r="J4" s="1">
        <v>46028</v>
      </c>
      <c r="K4">
        <v>12</v>
      </c>
      <c r="L4">
        <v>7</v>
      </c>
      <c r="M4" t="s">
        <v>37</v>
      </c>
    </row>
    <row r="5" spans="1:13" x14ac:dyDescent="0.3">
      <c r="A5" t="s">
        <v>38</v>
      </c>
      <c r="B5" t="s">
        <v>39</v>
      </c>
      <c r="C5" t="s">
        <v>40</v>
      </c>
      <c r="D5" t="s">
        <v>41</v>
      </c>
      <c r="E5" t="s">
        <v>42</v>
      </c>
      <c r="F5" t="s">
        <v>43</v>
      </c>
      <c r="G5" t="s">
        <v>44</v>
      </c>
      <c r="H5" s="1">
        <v>46026</v>
      </c>
      <c r="I5" s="1">
        <v>46032</v>
      </c>
      <c r="J5" s="1">
        <v>46029</v>
      </c>
      <c r="K5">
        <v>6</v>
      </c>
      <c r="L5">
        <v>0</v>
      </c>
      <c r="M5" t="s">
        <v>45</v>
      </c>
    </row>
    <row r="6" spans="1:13" x14ac:dyDescent="0.3">
      <c r="A6" t="s">
        <v>46</v>
      </c>
      <c r="B6" t="s">
        <v>47</v>
      </c>
      <c r="C6" t="s">
        <v>48</v>
      </c>
      <c r="D6" t="s">
        <v>49</v>
      </c>
      <c r="E6" t="s">
        <v>50</v>
      </c>
      <c r="F6" t="s">
        <v>21</v>
      </c>
      <c r="G6" t="s">
        <v>51</v>
      </c>
      <c r="H6" s="1">
        <v>46027</v>
      </c>
      <c r="I6" s="1">
        <v>46031</v>
      </c>
      <c r="J6" s="1">
        <v>46030</v>
      </c>
      <c r="K6">
        <v>5</v>
      </c>
      <c r="L6">
        <v>5</v>
      </c>
      <c r="M6" t="s">
        <v>52</v>
      </c>
    </row>
    <row r="7" spans="1:13" x14ac:dyDescent="0.3">
      <c r="A7" t="s">
        <v>53</v>
      </c>
      <c r="B7" t="s">
        <v>54</v>
      </c>
      <c r="C7" t="s">
        <v>18</v>
      </c>
      <c r="D7" t="s">
        <v>55</v>
      </c>
      <c r="E7" t="s">
        <v>20</v>
      </c>
      <c r="F7" t="s">
        <v>21</v>
      </c>
      <c r="G7" t="s">
        <v>56</v>
      </c>
      <c r="H7" s="1">
        <v>46028</v>
      </c>
      <c r="I7" s="1">
        <v>46034</v>
      </c>
      <c r="J7" s="1">
        <v>46031</v>
      </c>
      <c r="K7">
        <v>15</v>
      </c>
      <c r="L7">
        <v>7</v>
      </c>
      <c r="M7" t="s">
        <v>37</v>
      </c>
    </row>
    <row r="8" spans="1:13" x14ac:dyDescent="0.3">
      <c r="A8" t="s">
        <v>57</v>
      </c>
      <c r="B8" t="s">
        <v>58</v>
      </c>
      <c r="C8" t="s">
        <v>33</v>
      </c>
      <c r="D8" t="s">
        <v>59</v>
      </c>
      <c r="E8" t="s">
        <v>35</v>
      </c>
      <c r="F8" t="s">
        <v>28</v>
      </c>
      <c r="G8" t="s">
        <v>60</v>
      </c>
      <c r="H8" s="1">
        <v>46029</v>
      </c>
      <c r="I8" s="1">
        <v>46036</v>
      </c>
      <c r="J8" s="1">
        <v>46032</v>
      </c>
      <c r="K8">
        <v>7</v>
      </c>
      <c r="L8">
        <v>0</v>
      </c>
      <c r="M8" t="s">
        <v>45</v>
      </c>
    </row>
    <row r="9" spans="1:13" x14ac:dyDescent="0.3">
      <c r="A9" t="s">
        <v>61</v>
      </c>
      <c r="B9" t="s">
        <v>62</v>
      </c>
      <c r="C9" t="s">
        <v>40</v>
      </c>
      <c r="D9" t="s">
        <v>63</v>
      </c>
      <c r="E9" t="s">
        <v>64</v>
      </c>
      <c r="F9" t="s">
        <v>21</v>
      </c>
      <c r="G9" t="s">
        <v>65</v>
      </c>
      <c r="H9" s="1">
        <v>46030</v>
      </c>
      <c r="I9" s="1">
        <v>46035</v>
      </c>
      <c r="J9" s="1">
        <v>46033</v>
      </c>
      <c r="K9">
        <v>6</v>
      </c>
      <c r="L9">
        <v>6</v>
      </c>
      <c r="M9" t="s">
        <v>52</v>
      </c>
    </row>
    <row r="10" spans="1:13" x14ac:dyDescent="0.3">
      <c r="A10" t="s">
        <v>66</v>
      </c>
      <c r="B10" t="s">
        <v>67</v>
      </c>
      <c r="C10" t="s">
        <v>48</v>
      </c>
      <c r="D10" t="s">
        <v>68</v>
      </c>
      <c r="E10" t="s">
        <v>64</v>
      </c>
      <c r="F10" t="s">
        <v>21</v>
      </c>
      <c r="G10" t="s">
        <v>36</v>
      </c>
      <c r="H10" s="1">
        <v>46031</v>
      </c>
      <c r="I10" s="1">
        <v>46037</v>
      </c>
      <c r="J10" s="1">
        <v>46034</v>
      </c>
      <c r="K10">
        <v>10</v>
      </c>
      <c r="L10">
        <v>4</v>
      </c>
      <c r="M10" t="s">
        <v>37</v>
      </c>
    </row>
    <row r="11" spans="1:13" x14ac:dyDescent="0.3">
      <c r="A11" t="s">
        <v>69</v>
      </c>
      <c r="B11" t="s">
        <v>17</v>
      </c>
      <c r="C11" t="s">
        <v>18</v>
      </c>
      <c r="D11" t="s">
        <v>19</v>
      </c>
      <c r="E11" t="s">
        <v>20</v>
      </c>
      <c r="F11" t="s">
        <v>28</v>
      </c>
      <c r="G11" t="s">
        <v>70</v>
      </c>
      <c r="H11" s="1">
        <v>46032</v>
      </c>
      <c r="I11" s="1">
        <v>46038</v>
      </c>
      <c r="J11" s="1">
        <v>46035</v>
      </c>
      <c r="K11">
        <v>8</v>
      </c>
      <c r="L11">
        <v>3</v>
      </c>
      <c r="M11" t="s">
        <v>37</v>
      </c>
    </row>
    <row r="12" spans="1:13" x14ac:dyDescent="0.3">
      <c r="A12" t="s">
        <v>71</v>
      </c>
      <c r="B12" t="s">
        <v>17</v>
      </c>
      <c r="C12" t="s">
        <v>18</v>
      </c>
      <c r="D12" t="s">
        <v>26</v>
      </c>
      <c r="E12" t="s">
        <v>27</v>
      </c>
      <c r="F12" t="s">
        <v>43</v>
      </c>
      <c r="G12" t="s">
        <v>29</v>
      </c>
      <c r="H12" s="1">
        <v>46033</v>
      </c>
      <c r="I12" s="1">
        <v>46039</v>
      </c>
      <c r="J12" s="1">
        <v>46036</v>
      </c>
      <c r="K12">
        <v>6</v>
      </c>
      <c r="L12">
        <v>0</v>
      </c>
      <c r="M12" t="s">
        <v>45</v>
      </c>
    </row>
    <row r="13" spans="1:13" x14ac:dyDescent="0.3">
      <c r="A13" t="s">
        <v>72</v>
      </c>
      <c r="B13" t="s">
        <v>32</v>
      </c>
      <c r="C13" t="s">
        <v>33</v>
      </c>
      <c r="D13" t="s">
        <v>34</v>
      </c>
      <c r="E13" t="s">
        <v>35</v>
      </c>
      <c r="F13" t="s">
        <v>21</v>
      </c>
      <c r="G13" t="s">
        <v>73</v>
      </c>
      <c r="H13" s="1">
        <v>46034</v>
      </c>
      <c r="I13" s="1">
        <v>46040</v>
      </c>
      <c r="J13" s="1">
        <v>46037</v>
      </c>
      <c r="K13">
        <v>10</v>
      </c>
      <c r="L13">
        <v>10</v>
      </c>
      <c r="M13" t="s">
        <v>52</v>
      </c>
    </row>
    <row r="14" spans="1:13" x14ac:dyDescent="0.3">
      <c r="A14" t="s">
        <v>74</v>
      </c>
      <c r="B14" t="s">
        <v>39</v>
      </c>
      <c r="C14" t="s">
        <v>40</v>
      </c>
      <c r="D14" t="s">
        <v>41</v>
      </c>
      <c r="E14" t="s">
        <v>42</v>
      </c>
      <c r="F14" t="s">
        <v>28</v>
      </c>
      <c r="G14" t="s">
        <v>75</v>
      </c>
      <c r="H14" s="1">
        <v>46035</v>
      </c>
      <c r="I14" s="1">
        <v>46041</v>
      </c>
      <c r="J14" s="1">
        <v>46038</v>
      </c>
      <c r="K14">
        <v>7</v>
      </c>
      <c r="L14">
        <v>4</v>
      </c>
      <c r="M14" t="s">
        <v>37</v>
      </c>
    </row>
    <row r="15" spans="1:13" x14ac:dyDescent="0.3">
      <c r="A15" t="s">
        <v>76</v>
      </c>
      <c r="B15" t="s">
        <v>47</v>
      </c>
      <c r="C15" t="s">
        <v>48</v>
      </c>
      <c r="D15" t="s">
        <v>49</v>
      </c>
      <c r="E15" t="s">
        <v>50</v>
      </c>
      <c r="F15" t="s">
        <v>43</v>
      </c>
      <c r="G15" t="s">
        <v>77</v>
      </c>
      <c r="H15" s="1">
        <v>46036</v>
      </c>
      <c r="I15" s="1">
        <v>46042</v>
      </c>
      <c r="J15" s="1">
        <v>46039</v>
      </c>
      <c r="K15">
        <v>5</v>
      </c>
      <c r="L15">
        <v>0</v>
      </c>
      <c r="M15" t="s">
        <v>45</v>
      </c>
    </row>
    <row r="16" spans="1:13" x14ac:dyDescent="0.3">
      <c r="A16" t="s">
        <v>78</v>
      </c>
      <c r="B16" t="s">
        <v>54</v>
      </c>
      <c r="C16" t="s">
        <v>18</v>
      </c>
      <c r="D16" t="s">
        <v>55</v>
      </c>
      <c r="E16" t="s">
        <v>20</v>
      </c>
      <c r="F16" t="s">
        <v>21</v>
      </c>
      <c r="G16" t="s">
        <v>29</v>
      </c>
      <c r="H16" s="1">
        <v>46037</v>
      </c>
      <c r="I16" s="1">
        <v>46043</v>
      </c>
      <c r="J16" s="1">
        <v>46040</v>
      </c>
      <c r="K16">
        <v>14</v>
      </c>
      <c r="L16">
        <v>16</v>
      </c>
      <c r="M16" t="s">
        <v>30</v>
      </c>
    </row>
    <row r="17" spans="1:13" x14ac:dyDescent="0.3">
      <c r="A17" t="s">
        <v>79</v>
      </c>
      <c r="B17" t="s">
        <v>58</v>
      </c>
      <c r="C17" t="s">
        <v>33</v>
      </c>
      <c r="D17" t="s">
        <v>59</v>
      </c>
      <c r="E17" t="s">
        <v>35</v>
      </c>
      <c r="F17" t="s">
        <v>28</v>
      </c>
      <c r="G17" t="s">
        <v>80</v>
      </c>
      <c r="H17" s="1">
        <v>46038</v>
      </c>
      <c r="I17" s="1">
        <v>46044</v>
      </c>
      <c r="J17" s="1">
        <v>46041</v>
      </c>
      <c r="K17">
        <v>6</v>
      </c>
      <c r="L17">
        <v>3</v>
      </c>
      <c r="M17" t="s">
        <v>37</v>
      </c>
    </row>
    <row r="18" spans="1:13" x14ac:dyDescent="0.3">
      <c r="A18" t="s">
        <v>81</v>
      </c>
      <c r="B18" t="s">
        <v>62</v>
      </c>
      <c r="C18" t="s">
        <v>40</v>
      </c>
      <c r="D18" t="s">
        <v>63</v>
      </c>
      <c r="E18" t="s">
        <v>64</v>
      </c>
      <c r="F18" t="s">
        <v>21</v>
      </c>
      <c r="G18" t="s">
        <v>82</v>
      </c>
      <c r="H18" s="1">
        <v>46039</v>
      </c>
      <c r="I18" s="1">
        <v>46045</v>
      </c>
      <c r="J18" s="1">
        <v>46042</v>
      </c>
      <c r="K18">
        <v>5</v>
      </c>
      <c r="L18">
        <v>5</v>
      </c>
      <c r="M18" t="s">
        <v>52</v>
      </c>
    </row>
    <row r="19" spans="1:13" x14ac:dyDescent="0.3">
      <c r="A19" t="s">
        <v>83</v>
      </c>
      <c r="B19" t="s">
        <v>67</v>
      </c>
      <c r="C19" t="s">
        <v>48</v>
      </c>
      <c r="D19" t="s">
        <v>68</v>
      </c>
      <c r="E19" t="s">
        <v>64</v>
      </c>
      <c r="F19" t="s">
        <v>28</v>
      </c>
      <c r="G19" t="s">
        <v>73</v>
      </c>
      <c r="H19" s="1">
        <v>46040</v>
      </c>
      <c r="I19" s="1">
        <v>46046</v>
      </c>
      <c r="J19" s="1">
        <v>46043</v>
      </c>
      <c r="K19">
        <v>9</v>
      </c>
      <c r="L19">
        <v>4</v>
      </c>
      <c r="M19" t="s">
        <v>37</v>
      </c>
    </row>
    <row r="20" spans="1:13" x14ac:dyDescent="0.3">
      <c r="A20" t="s">
        <v>84</v>
      </c>
      <c r="B20" t="s">
        <v>17</v>
      </c>
      <c r="C20" t="s">
        <v>18</v>
      </c>
      <c r="D20" t="s">
        <v>19</v>
      </c>
      <c r="E20" t="s">
        <v>20</v>
      </c>
      <c r="F20" t="s">
        <v>21</v>
      </c>
      <c r="G20" t="s">
        <v>22</v>
      </c>
      <c r="H20" s="1">
        <v>46041</v>
      </c>
      <c r="I20" s="1">
        <v>46047</v>
      </c>
      <c r="J20" s="1">
        <v>46044</v>
      </c>
      <c r="K20">
        <v>12</v>
      </c>
      <c r="L20">
        <v>9</v>
      </c>
      <c r="M20" t="s">
        <v>37</v>
      </c>
    </row>
    <row r="21" spans="1:13" x14ac:dyDescent="0.3">
      <c r="A21" t="s">
        <v>85</v>
      </c>
      <c r="B21" t="s">
        <v>17</v>
      </c>
      <c r="C21" t="s">
        <v>18</v>
      </c>
      <c r="D21" t="s">
        <v>26</v>
      </c>
      <c r="E21" t="s">
        <v>27</v>
      </c>
      <c r="F21" t="s">
        <v>28</v>
      </c>
      <c r="G21" t="s">
        <v>29</v>
      </c>
      <c r="H21" s="1">
        <v>46042</v>
      </c>
      <c r="I21" s="1">
        <v>46048</v>
      </c>
      <c r="J21" s="1">
        <v>46045</v>
      </c>
      <c r="K21">
        <v>8</v>
      </c>
      <c r="L21">
        <v>0</v>
      </c>
      <c r="M21" t="s">
        <v>45</v>
      </c>
    </row>
    <row r="22" spans="1:13" x14ac:dyDescent="0.3">
      <c r="A22" t="s">
        <v>86</v>
      </c>
      <c r="B22" t="s">
        <v>32</v>
      </c>
      <c r="C22" t="s">
        <v>33</v>
      </c>
      <c r="D22" t="s">
        <v>34</v>
      </c>
      <c r="E22" t="s">
        <v>35</v>
      </c>
      <c r="F22" t="s">
        <v>21</v>
      </c>
      <c r="G22" t="s">
        <v>87</v>
      </c>
      <c r="H22" s="1">
        <v>46043</v>
      </c>
      <c r="I22" s="1">
        <v>46049</v>
      </c>
      <c r="J22" s="1">
        <v>46046</v>
      </c>
      <c r="K22">
        <v>10</v>
      </c>
      <c r="L22">
        <v>10</v>
      </c>
      <c r="M22" t="s">
        <v>52</v>
      </c>
    </row>
    <row r="23" spans="1:13" x14ac:dyDescent="0.3">
      <c r="A23" t="s">
        <v>88</v>
      </c>
      <c r="B23" t="s">
        <v>39</v>
      </c>
      <c r="C23" t="s">
        <v>40</v>
      </c>
      <c r="D23" t="s">
        <v>41</v>
      </c>
      <c r="E23" t="s">
        <v>42</v>
      </c>
      <c r="F23" t="s">
        <v>43</v>
      </c>
      <c r="G23" t="s">
        <v>89</v>
      </c>
      <c r="H23" s="1">
        <v>46044</v>
      </c>
      <c r="I23" s="1">
        <v>46050</v>
      </c>
      <c r="J23" s="1">
        <v>46047</v>
      </c>
      <c r="K23">
        <v>6</v>
      </c>
      <c r="L23">
        <v>2</v>
      </c>
      <c r="M23" t="s">
        <v>37</v>
      </c>
    </row>
    <row r="24" spans="1:13" x14ac:dyDescent="0.3">
      <c r="A24" t="s">
        <v>90</v>
      </c>
      <c r="B24" t="s">
        <v>47</v>
      </c>
      <c r="C24" t="s">
        <v>48</v>
      </c>
      <c r="D24" t="s">
        <v>49</v>
      </c>
      <c r="E24" t="s">
        <v>50</v>
      </c>
      <c r="F24" t="s">
        <v>21</v>
      </c>
      <c r="G24" t="s">
        <v>51</v>
      </c>
      <c r="H24" s="1">
        <v>46045</v>
      </c>
      <c r="I24" s="1">
        <v>46051</v>
      </c>
      <c r="J24" s="1">
        <v>46048</v>
      </c>
      <c r="K24">
        <v>7</v>
      </c>
      <c r="L24">
        <v>9</v>
      </c>
      <c r="M24" t="s">
        <v>30</v>
      </c>
    </row>
    <row r="25" spans="1:13" x14ac:dyDescent="0.3">
      <c r="A25" t="s">
        <v>91</v>
      </c>
      <c r="B25" t="s">
        <v>54</v>
      </c>
      <c r="C25" t="s">
        <v>18</v>
      </c>
      <c r="D25" t="s">
        <v>55</v>
      </c>
      <c r="E25" t="s">
        <v>20</v>
      </c>
      <c r="F25" t="s">
        <v>21</v>
      </c>
      <c r="G25" t="s">
        <v>29</v>
      </c>
      <c r="H25" s="1">
        <v>46046</v>
      </c>
      <c r="I25" s="1">
        <v>46052</v>
      </c>
      <c r="J25" s="1">
        <v>46049</v>
      </c>
      <c r="K25">
        <v>13</v>
      </c>
      <c r="L25">
        <v>7</v>
      </c>
      <c r="M25" t="s">
        <v>37</v>
      </c>
    </row>
    <row r="26" spans="1:13" x14ac:dyDescent="0.3">
      <c r="A26" t="s">
        <v>92</v>
      </c>
      <c r="B26" t="s">
        <v>58</v>
      </c>
      <c r="C26" t="s">
        <v>33</v>
      </c>
      <c r="D26" t="s">
        <v>59</v>
      </c>
      <c r="E26" t="s">
        <v>35</v>
      </c>
      <c r="F26" t="s">
        <v>28</v>
      </c>
      <c r="G26" t="s">
        <v>77</v>
      </c>
      <c r="H26" s="1">
        <v>46047</v>
      </c>
      <c r="I26" s="1">
        <v>46053</v>
      </c>
      <c r="J26" s="1">
        <v>46050</v>
      </c>
      <c r="K26">
        <v>6</v>
      </c>
      <c r="L26">
        <v>0</v>
      </c>
      <c r="M26" t="s">
        <v>45</v>
      </c>
    </row>
    <row r="27" spans="1:13" x14ac:dyDescent="0.3">
      <c r="A27" t="s">
        <v>93</v>
      </c>
      <c r="B27" t="s">
        <v>62</v>
      </c>
      <c r="C27" t="s">
        <v>40</v>
      </c>
      <c r="D27" t="s">
        <v>63</v>
      </c>
      <c r="E27" t="s">
        <v>64</v>
      </c>
      <c r="F27" t="s">
        <v>21</v>
      </c>
      <c r="G27" t="s">
        <v>94</v>
      </c>
      <c r="H27" s="1">
        <v>46048</v>
      </c>
      <c r="I27" s="1">
        <v>46054</v>
      </c>
      <c r="J27" s="1">
        <v>46051</v>
      </c>
      <c r="K27">
        <v>5</v>
      </c>
      <c r="L27">
        <v>5</v>
      </c>
      <c r="M27" t="s">
        <v>52</v>
      </c>
    </row>
    <row r="28" spans="1:13" x14ac:dyDescent="0.3">
      <c r="A28" t="s">
        <v>95</v>
      </c>
      <c r="B28" t="s">
        <v>67</v>
      </c>
      <c r="C28" t="s">
        <v>48</v>
      </c>
      <c r="D28" t="s">
        <v>68</v>
      </c>
      <c r="E28" t="s">
        <v>64</v>
      </c>
      <c r="F28" t="s">
        <v>28</v>
      </c>
      <c r="G28" t="s">
        <v>73</v>
      </c>
      <c r="H28" s="1">
        <v>46049</v>
      </c>
      <c r="I28" s="1">
        <v>46055</v>
      </c>
      <c r="J28" s="1">
        <v>46052</v>
      </c>
      <c r="K28">
        <v>5</v>
      </c>
      <c r="L28">
        <v>3</v>
      </c>
      <c r="M28" t="s">
        <v>37</v>
      </c>
    </row>
    <row r="29" spans="1:13" x14ac:dyDescent="0.3">
      <c r="A29" t="s">
        <v>96</v>
      </c>
      <c r="B29" t="s">
        <v>17</v>
      </c>
      <c r="C29" t="s">
        <v>18</v>
      </c>
      <c r="D29" t="s">
        <v>19</v>
      </c>
      <c r="E29" t="s">
        <v>20</v>
      </c>
      <c r="F29" t="s">
        <v>43</v>
      </c>
      <c r="G29" t="s">
        <v>70</v>
      </c>
      <c r="H29" s="1">
        <v>46050</v>
      </c>
      <c r="I29" s="1">
        <v>46056</v>
      </c>
      <c r="J29" s="1">
        <v>46053</v>
      </c>
      <c r="K29">
        <v>6</v>
      </c>
      <c r="L29">
        <v>2</v>
      </c>
      <c r="M29" t="s">
        <v>45</v>
      </c>
    </row>
    <row r="30" spans="1:13" x14ac:dyDescent="0.3">
      <c r="A30" t="s">
        <v>97</v>
      </c>
      <c r="B30" t="s">
        <v>17</v>
      </c>
      <c r="C30" t="s">
        <v>18</v>
      </c>
      <c r="D30" t="s">
        <v>26</v>
      </c>
      <c r="E30" t="s">
        <v>27</v>
      </c>
      <c r="F30" t="s">
        <v>21</v>
      </c>
      <c r="G30" t="s">
        <v>29</v>
      </c>
      <c r="H30" s="1">
        <v>46051</v>
      </c>
      <c r="I30" s="1">
        <v>46057</v>
      </c>
      <c r="J30" s="1">
        <v>46054</v>
      </c>
      <c r="K30">
        <v>12</v>
      </c>
      <c r="L30">
        <v>12</v>
      </c>
      <c r="M30" t="s">
        <v>37</v>
      </c>
    </row>
    <row r="31" spans="1:13" x14ac:dyDescent="0.3">
      <c r="A31" t="s">
        <v>98</v>
      </c>
      <c r="B31" t="s">
        <v>32</v>
      </c>
      <c r="C31" t="s">
        <v>33</v>
      </c>
      <c r="D31" t="s">
        <v>34</v>
      </c>
      <c r="E31" t="s">
        <v>35</v>
      </c>
      <c r="F31" t="s">
        <v>28</v>
      </c>
      <c r="G31" t="s">
        <v>36</v>
      </c>
      <c r="H31" s="1">
        <v>46052</v>
      </c>
      <c r="I31" s="1">
        <v>46058</v>
      </c>
      <c r="J31" s="1">
        <v>46055</v>
      </c>
      <c r="K31">
        <v>14</v>
      </c>
      <c r="L31">
        <v>32</v>
      </c>
      <c r="M31" t="s">
        <v>52</v>
      </c>
    </row>
    <row r="32" spans="1:13" x14ac:dyDescent="0.3">
      <c r="A32" t="s">
        <v>99</v>
      </c>
      <c r="B32" t="s">
        <v>17</v>
      </c>
      <c r="C32" t="s">
        <v>18</v>
      </c>
      <c r="D32" t="s">
        <v>19</v>
      </c>
      <c r="E32" t="s">
        <v>20</v>
      </c>
      <c r="F32" t="s">
        <v>21</v>
      </c>
      <c r="G32" t="s">
        <v>22</v>
      </c>
      <c r="H32" s="1">
        <v>46053</v>
      </c>
      <c r="I32" s="1">
        <v>46027</v>
      </c>
      <c r="J32" s="1">
        <v>46056</v>
      </c>
      <c r="K32" s="3">
        <v>5</v>
      </c>
      <c r="L32" s="3">
        <v>5</v>
      </c>
      <c r="M32" t="s">
        <v>24</v>
      </c>
    </row>
    <row r="33" spans="1:13" x14ac:dyDescent="0.3">
      <c r="A33" t="s">
        <v>100</v>
      </c>
      <c r="B33" t="s">
        <v>17</v>
      </c>
      <c r="C33" t="s">
        <v>18</v>
      </c>
      <c r="D33" t="s">
        <v>26</v>
      </c>
      <c r="E33" t="s">
        <v>27</v>
      </c>
      <c r="F33" t="s">
        <v>28</v>
      </c>
      <c r="G33" t="s">
        <v>29</v>
      </c>
      <c r="H33" s="1">
        <v>46054</v>
      </c>
      <c r="I33" s="1">
        <v>46028</v>
      </c>
      <c r="J33" s="1">
        <v>46057</v>
      </c>
      <c r="K33" s="3">
        <v>3</v>
      </c>
      <c r="L33" s="3">
        <v>4.4646644419725598</v>
      </c>
      <c r="M33" t="s">
        <v>30</v>
      </c>
    </row>
    <row r="34" spans="1:13" x14ac:dyDescent="0.3">
      <c r="A34" t="s">
        <v>101</v>
      </c>
      <c r="B34" t="s">
        <v>32</v>
      </c>
      <c r="C34" t="s">
        <v>33</v>
      </c>
      <c r="D34" t="s">
        <v>34</v>
      </c>
      <c r="E34" t="s">
        <v>35</v>
      </c>
      <c r="F34" t="s">
        <v>21</v>
      </c>
      <c r="G34" t="s">
        <v>36</v>
      </c>
      <c r="H34" s="1">
        <v>46055</v>
      </c>
      <c r="I34" s="1">
        <v>46030</v>
      </c>
      <c r="J34" s="1">
        <v>46058</v>
      </c>
      <c r="K34" s="3">
        <v>15</v>
      </c>
      <c r="L34" s="3">
        <v>22</v>
      </c>
      <c r="M34" t="s">
        <v>37</v>
      </c>
    </row>
    <row r="35" spans="1:13" x14ac:dyDescent="0.3">
      <c r="A35" t="s">
        <v>102</v>
      </c>
      <c r="B35" t="s">
        <v>39</v>
      </c>
      <c r="C35" t="s">
        <v>40</v>
      </c>
      <c r="D35" t="s">
        <v>41</v>
      </c>
      <c r="E35" t="s">
        <v>42</v>
      </c>
      <c r="F35" t="s">
        <v>43</v>
      </c>
      <c r="G35" t="s">
        <v>44</v>
      </c>
      <c r="H35" s="1">
        <v>46056</v>
      </c>
      <c r="I35" s="1">
        <v>46032</v>
      </c>
      <c r="J35" s="1">
        <v>46059</v>
      </c>
      <c r="K35" s="3">
        <v>5</v>
      </c>
      <c r="L35" s="3">
        <v>3</v>
      </c>
      <c r="M35" t="s">
        <v>45</v>
      </c>
    </row>
    <row r="36" spans="1:13" x14ac:dyDescent="0.3">
      <c r="A36" t="s">
        <v>103</v>
      </c>
      <c r="B36" t="s">
        <v>47</v>
      </c>
      <c r="C36" t="s">
        <v>48</v>
      </c>
      <c r="D36" t="s">
        <v>49</v>
      </c>
      <c r="E36" t="s">
        <v>50</v>
      </c>
      <c r="F36" t="s">
        <v>21</v>
      </c>
      <c r="G36" t="s">
        <v>51</v>
      </c>
      <c r="H36" s="1">
        <v>46057</v>
      </c>
      <c r="I36" s="1">
        <v>46031</v>
      </c>
      <c r="J36" s="1">
        <v>46060</v>
      </c>
      <c r="K36" s="3">
        <v>12</v>
      </c>
      <c r="L36" s="3">
        <v>15</v>
      </c>
      <c r="M36" t="s">
        <v>52</v>
      </c>
    </row>
    <row r="37" spans="1:13" x14ac:dyDescent="0.3">
      <c r="A37" t="s">
        <v>104</v>
      </c>
      <c r="B37" t="s">
        <v>54</v>
      </c>
      <c r="C37" t="s">
        <v>18</v>
      </c>
      <c r="D37" t="s">
        <v>55</v>
      </c>
      <c r="E37" t="s">
        <v>20</v>
      </c>
      <c r="F37" t="s">
        <v>21</v>
      </c>
      <c r="G37" t="s">
        <v>56</v>
      </c>
      <c r="H37" s="1">
        <v>46058</v>
      </c>
      <c r="I37" s="1">
        <v>46034</v>
      </c>
      <c r="J37" s="1">
        <v>46061</v>
      </c>
      <c r="K37" s="3">
        <v>6</v>
      </c>
      <c r="L37" s="3">
        <v>6</v>
      </c>
      <c r="M37" t="s">
        <v>37</v>
      </c>
    </row>
    <row r="38" spans="1:13" x14ac:dyDescent="0.3">
      <c r="A38" t="s">
        <v>105</v>
      </c>
      <c r="B38" t="s">
        <v>58</v>
      </c>
      <c r="C38" t="s">
        <v>33</v>
      </c>
      <c r="D38" t="s">
        <v>59</v>
      </c>
      <c r="E38" t="s">
        <v>35</v>
      </c>
      <c r="F38" t="s">
        <v>28</v>
      </c>
      <c r="G38" t="s">
        <v>60</v>
      </c>
      <c r="H38" s="1">
        <v>46059</v>
      </c>
      <c r="I38" s="1">
        <v>46036</v>
      </c>
      <c r="J38" s="1">
        <v>46062</v>
      </c>
      <c r="K38" s="3">
        <v>5</v>
      </c>
      <c r="L38" s="3">
        <v>9</v>
      </c>
      <c r="M38" t="s">
        <v>45</v>
      </c>
    </row>
    <row r="39" spans="1:13" x14ac:dyDescent="0.3">
      <c r="A39" t="s">
        <v>106</v>
      </c>
      <c r="B39" t="s">
        <v>62</v>
      </c>
      <c r="C39" t="s">
        <v>40</v>
      </c>
      <c r="D39" t="s">
        <v>63</v>
      </c>
      <c r="E39" t="s">
        <v>64</v>
      </c>
      <c r="F39" t="s">
        <v>21</v>
      </c>
      <c r="G39" t="s">
        <v>65</v>
      </c>
      <c r="H39" s="1">
        <v>46060</v>
      </c>
      <c r="I39" s="1">
        <v>46035</v>
      </c>
      <c r="J39" s="1">
        <v>46063</v>
      </c>
      <c r="K39" s="3">
        <v>8</v>
      </c>
      <c r="L39" s="3">
        <v>8</v>
      </c>
      <c r="M39" t="s">
        <v>52</v>
      </c>
    </row>
    <row r="40" spans="1:13" x14ac:dyDescent="0.3">
      <c r="A40" t="s">
        <v>107</v>
      </c>
      <c r="B40" t="s">
        <v>67</v>
      </c>
      <c r="C40" t="s">
        <v>48</v>
      </c>
      <c r="D40" t="s">
        <v>68</v>
      </c>
      <c r="E40" t="s">
        <v>64</v>
      </c>
      <c r="F40" t="s">
        <v>21</v>
      </c>
      <c r="G40" t="s">
        <v>36</v>
      </c>
      <c r="H40" s="1">
        <v>46061</v>
      </c>
      <c r="I40" s="1">
        <v>46037</v>
      </c>
      <c r="J40" s="1">
        <v>46064</v>
      </c>
      <c r="K40" s="3">
        <v>7.2766036336670297</v>
      </c>
      <c r="L40" s="3">
        <v>4.2092695587689999</v>
      </c>
      <c r="M40" t="s">
        <v>37</v>
      </c>
    </row>
    <row r="41" spans="1:13" x14ac:dyDescent="0.3">
      <c r="A41" t="s">
        <v>108</v>
      </c>
      <c r="B41" t="s">
        <v>17</v>
      </c>
      <c r="C41" t="s">
        <v>18</v>
      </c>
      <c r="D41" t="s">
        <v>19</v>
      </c>
      <c r="E41" t="s">
        <v>20</v>
      </c>
      <c r="F41" t="s">
        <v>28</v>
      </c>
      <c r="G41" t="s">
        <v>70</v>
      </c>
      <c r="H41" s="1">
        <v>46062</v>
      </c>
      <c r="I41" s="1">
        <v>46038</v>
      </c>
      <c r="J41" s="1">
        <v>46065</v>
      </c>
      <c r="K41" s="3">
        <v>2</v>
      </c>
      <c r="L41" s="3">
        <v>4.1727845754541999</v>
      </c>
      <c r="M41" t="s">
        <v>37</v>
      </c>
    </row>
    <row r="42" spans="1:13" x14ac:dyDescent="0.3">
      <c r="A42" t="s">
        <v>109</v>
      </c>
      <c r="B42" t="s">
        <v>17</v>
      </c>
      <c r="C42" t="s">
        <v>18</v>
      </c>
      <c r="D42" t="s">
        <v>26</v>
      </c>
      <c r="E42" t="s">
        <v>27</v>
      </c>
      <c r="F42" t="s">
        <v>43</v>
      </c>
      <c r="G42" t="s">
        <v>29</v>
      </c>
      <c r="H42" s="1">
        <v>46063</v>
      </c>
      <c r="I42" s="1">
        <v>46039</v>
      </c>
      <c r="J42" s="1">
        <v>46066</v>
      </c>
      <c r="K42" s="3">
        <v>3</v>
      </c>
      <c r="L42" s="3">
        <v>5</v>
      </c>
      <c r="M42" t="s">
        <v>45</v>
      </c>
    </row>
    <row r="43" spans="1:13" x14ac:dyDescent="0.3">
      <c r="A43" t="s">
        <v>110</v>
      </c>
      <c r="B43" t="s">
        <v>32</v>
      </c>
      <c r="C43" t="s">
        <v>33</v>
      </c>
      <c r="D43" t="s">
        <v>34</v>
      </c>
      <c r="E43" t="s">
        <v>35</v>
      </c>
      <c r="F43" t="s">
        <v>21</v>
      </c>
      <c r="G43" t="s">
        <v>73</v>
      </c>
      <c r="H43" s="1">
        <v>46064</v>
      </c>
      <c r="I43" s="1">
        <v>46040</v>
      </c>
      <c r="J43" s="1">
        <v>46067</v>
      </c>
      <c r="K43" s="3">
        <v>5</v>
      </c>
      <c r="L43" s="3">
        <v>2</v>
      </c>
      <c r="M43" t="s">
        <v>52</v>
      </c>
    </row>
    <row r="44" spans="1:13" x14ac:dyDescent="0.3">
      <c r="A44" t="s">
        <v>111</v>
      </c>
      <c r="B44" t="s">
        <v>39</v>
      </c>
      <c r="C44" t="s">
        <v>40</v>
      </c>
      <c r="D44" t="s">
        <v>41</v>
      </c>
      <c r="E44" t="s">
        <v>42</v>
      </c>
      <c r="F44" t="s">
        <v>28</v>
      </c>
      <c r="G44" t="s">
        <v>75</v>
      </c>
      <c r="H44" s="1">
        <v>46065</v>
      </c>
      <c r="I44" s="1">
        <v>46041</v>
      </c>
      <c r="J44" s="1">
        <v>46068</v>
      </c>
      <c r="K44" s="3">
        <v>7.1137560252131999</v>
      </c>
      <c r="L44" s="3">
        <v>0</v>
      </c>
      <c r="M44" t="s">
        <v>37</v>
      </c>
    </row>
    <row r="45" spans="1:13" x14ac:dyDescent="0.3">
      <c r="A45" t="s">
        <v>112</v>
      </c>
      <c r="B45" t="s">
        <v>47</v>
      </c>
      <c r="C45" t="s">
        <v>48</v>
      </c>
      <c r="D45" t="s">
        <v>49</v>
      </c>
      <c r="E45" t="s">
        <v>50</v>
      </c>
      <c r="F45" t="s">
        <v>43</v>
      </c>
      <c r="G45" t="s">
        <v>77</v>
      </c>
      <c r="H45" s="1">
        <v>46066</v>
      </c>
      <c r="I45" s="1">
        <v>46042</v>
      </c>
      <c r="J45" s="1">
        <v>46069</v>
      </c>
      <c r="K45" s="3">
        <v>8</v>
      </c>
      <c r="L45" s="3">
        <v>4.0268446421950301</v>
      </c>
      <c r="M45" t="s">
        <v>45</v>
      </c>
    </row>
    <row r="46" spans="1:13" x14ac:dyDescent="0.3">
      <c r="A46" t="s">
        <v>113</v>
      </c>
      <c r="B46" t="s">
        <v>54</v>
      </c>
      <c r="C46" t="s">
        <v>18</v>
      </c>
      <c r="D46" t="s">
        <v>55</v>
      </c>
      <c r="E46" t="s">
        <v>20</v>
      </c>
      <c r="F46" t="s">
        <v>21</v>
      </c>
      <c r="G46" t="s">
        <v>29</v>
      </c>
      <c r="H46" s="1">
        <v>46067</v>
      </c>
      <c r="I46" s="1">
        <v>46043</v>
      </c>
      <c r="J46" s="1">
        <v>46070</v>
      </c>
      <c r="K46" s="3">
        <v>9</v>
      </c>
      <c r="L46" s="3">
        <v>12</v>
      </c>
      <c r="M46" t="s">
        <v>30</v>
      </c>
    </row>
    <row r="47" spans="1:13" x14ac:dyDescent="0.3">
      <c r="A47" t="s">
        <v>114</v>
      </c>
      <c r="B47" t="s">
        <v>58</v>
      </c>
      <c r="C47" t="s">
        <v>33</v>
      </c>
      <c r="D47" t="s">
        <v>59</v>
      </c>
      <c r="E47" t="s">
        <v>35</v>
      </c>
      <c r="F47" t="s">
        <v>28</v>
      </c>
      <c r="G47" t="s">
        <v>80</v>
      </c>
      <c r="H47" s="1">
        <v>46068</v>
      </c>
      <c r="I47" s="1">
        <v>46044</v>
      </c>
      <c r="J47" s="1">
        <v>46071</v>
      </c>
      <c r="K47" s="3">
        <v>6.9916203188728199</v>
      </c>
      <c r="L47" s="3">
        <v>14</v>
      </c>
      <c r="M47" t="s">
        <v>37</v>
      </c>
    </row>
    <row r="48" spans="1:13" x14ac:dyDescent="0.3">
      <c r="A48" t="s">
        <v>115</v>
      </c>
      <c r="B48" t="s">
        <v>62</v>
      </c>
      <c r="C48" t="s">
        <v>40</v>
      </c>
      <c r="D48" t="s">
        <v>63</v>
      </c>
      <c r="E48" t="s">
        <v>64</v>
      </c>
      <c r="F48" t="s">
        <v>21</v>
      </c>
      <c r="G48" t="s">
        <v>82</v>
      </c>
      <c r="H48" s="1">
        <v>46069</v>
      </c>
      <c r="I48" s="1">
        <v>46045</v>
      </c>
      <c r="J48" s="1">
        <v>46072</v>
      </c>
      <c r="K48" s="3">
        <v>3</v>
      </c>
      <c r="L48" s="3">
        <v>2</v>
      </c>
      <c r="M48" t="s">
        <v>52</v>
      </c>
    </row>
    <row r="49" spans="1:13" x14ac:dyDescent="0.3">
      <c r="A49" t="s">
        <v>116</v>
      </c>
      <c r="B49" t="s">
        <v>67</v>
      </c>
      <c r="C49" t="s">
        <v>48</v>
      </c>
      <c r="D49" t="s">
        <v>68</v>
      </c>
      <c r="E49" t="s">
        <v>64</v>
      </c>
      <c r="F49" t="s">
        <v>28</v>
      </c>
      <c r="G49" t="s">
        <v>73</v>
      </c>
      <c r="H49" s="1">
        <v>46070</v>
      </c>
      <c r="I49" s="1">
        <v>46046</v>
      </c>
      <c r="J49" s="1">
        <v>46073</v>
      </c>
      <c r="K49" s="3">
        <v>10</v>
      </c>
      <c r="L49" s="3">
        <v>5</v>
      </c>
      <c r="M49" t="s">
        <v>37</v>
      </c>
    </row>
    <row r="50" spans="1:13" x14ac:dyDescent="0.3">
      <c r="A50" t="s">
        <v>117</v>
      </c>
      <c r="B50" t="s">
        <v>17</v>
      </c>
      <c r="C50" t="s">
        <v>18</v>
      </c>
      <c r="D50" t="s">
        <v>19</v>
      </c>
      <c r="E50" t="s">
        <v>20</v>
      </c>
      <c r="F50" t="s">
        <v>21</v>
      </c>
      <c r="G50" t="s">
        <v>22</v>
      </c>
      <c r="H50" s="1">
        <v>46071</v>
      </c>
      <c r="I50" s="1">
        <v>46047</v>
      </c>
      <c r="J50" s="1">
        <v>46074</v>
      </c>
      <c r="K50" s="3">
        <v>15</v>
      </c>
      <c r="L50" s="3">
        <v>8</v>
      </c>
      <c r="M50" t="s">
        <v>37</v>
      </c>
    </row>
    <row r="51" spans="1:13" x14ac:dyDescent="0.3">
      <c r="A51" t="s">
        <v>118</v>
      </c>
      <c r="B51" t="s">
        <v>17</v>
      </c>
      <c r="C51" t="s">
        <v>18</v>
      </c>
      <c r="D51" t="s">
        <v>26</v>
      </c>
      <c r="E51" t="s">
        <v>27</v>
      </c>
      <c r="F51" t="s">
        <v>28</v>
      </c>
      <c r="G51" t="s">
        <v>29</v>
      </c>
      <c r="H51" s="1">
        <v>46072</v>
      </c>
      <c r="I51" s="1">
        <v>46048</v>
      </c>
      <c r="J51" s="1">
        <v>46075</v>
      </c>
      <c r="K51" s="3">
        <v>12</v>
      </c>
      <c r="L51" s="3">
        <v>9</v>
      </c>
      <c r="M51" t="s">
        <v>45</v>
      </c>
    </row>
    <row r="52" spans="1:13" x14ac:dyDescent="0.3">
      <c r="A52" t="s">
        <v>119</v>
      </c>
      <c r="B52" t="s">
        <v>32</v>
      </c>
      <c r="C52" t="s">
        <v>33</v>
      </c>
      <c r="D52" t="s">
        <v>34</v>
      </c>
      <c r="E52" t="s">
        <v>35</v>
      </c>
      <c r="F52" t="s">
        <v>21</v>
      </c>
      <c r="G52" t="s">
        <v>87</v>
      </c>
      <c r="H52" s="1">
        <v>46073</v>
      </c>
      <c r="I52" s="1">
        <v>46049</v>
      </c>
      <c r="J52" s="1">
        <v>46076</v>
      </c>
      <c r="K52" s="3">
        <v>6.7880608083055201</v>
      </c>
      <c r="L52" s="3">
        <v>3.7714497589914702</v>
      </c>
      <c r="M52" t="s">
        <v>52</v>
      </c>
    </row>
    <row r="53" spans="1:13" x14ac:dyDescent="0.3">
      <c r="A53" t="s">
        <v>120</v>
      </c>
      <c r="B53" t="s">
        <v>39</v>
      </c>
      <c r="C53" t="s">
        <v>40</v>
      </c>
      <c r="D53" t="s">
        <v>41</v>
      </c>
      <c r="E53" t="s">
        <v>42</v>
      </c>
      <c r="F53" t="s">
        <v>43</v>
      </c>
      <c r="G53" t="s">
        <v>89</v>
      </c>
      <c r="H53" s="1">
        <v>46074</v>
      </c>
      <c r="I53" s="1">
        <v>46050</v>
      </c>
      <c r="J53" s="1">
        <v>46077</v>
      </c>
      <c r="K53" s="3">
        <v>6</v>
      </c>
      <c r="L53" s="3">
        <v>5</v>
      </c>
      <c r="M53" t="s">
        <v>37</v>
      </c>
    </row>
    <row r="54" spans="1:13" x14ac:dyDescent="0.3">
      <c r="A54" t="s">
        <v>121</v>
      </c>
      <c r="B54" t="s">
        <v>47</v>
      </c>
      <c r="C54" t="s">
        <v>48</v>
      </c>
      <c r="D54" t="s">
        <v>49</v>
      </c>
      <c r="E54" t="s">
        <v>50</v>
      </c>
      <c r="F54" t="s">
        <v>21</v>
      </c>
      <c r="G54" t="s">
        <v>51</v>
      </c>
      <c r="H54" s="1">
        <v>46075</v>
      </c>
      <c r="I54" s="1">
        <v>46051</v>
      </c>
      <c r="J54" s="1">
        <v>46078</v>
      </c>
      <c r="K54" s="3">
        <v>8</v>
      </c>
      <c r="L54" s="3">
        <v>7</v>
      </c>
      <c r="M54" t="s">
        <v>30</v>
      </c>
    </row>
    <row r="55" spans="1:13" x14ac:dyDescent="0.3">
      <c r="A55" t="s">
        <v>122</v>
      </c>
      <c r="B55" t="s">
        <v>54</v>
      </c>
      <c r="C55" t="s">
        <v>18</v>
      </c>
      <c r="D55" t="s">
        <v>55</v>
      </c>
      <c r="E55" t="s">
        <v>20</v>
      </c>
      <c r="F55" t="s">
        <v>21</v>
      </c>
      <c r="G55" t="s">
        <v>29</v>
      </c>
      <c r="H55" s="1">
        <v>46076</v>
      </c>
      <c r="I55" s="1">
        <v>46052</v>
      </c>
      <c r="J55" s="1">
        <v>46079</v>
      </c>
      <c r="K55" s="3">
        <v>9</v>
      </c>
      <c r="L55" s="3">
        <v>0</v>
      </c>
      <c r="M55" t="s">
        <v>37</v>
      </c>
    </row>
    <row r="56" spans="1:13" x14ac:dyDescent="0.3">
      <c r="A56" t="s">
        <v>123</v>
      </c>
      <c r="B56" t="s">
        <v>58</v>
      </c>
      <c r="C56" t="s">
        <v>33</v>
      </c>
      <c r="D56" t="s">
        <v>59</v>
      </c>
      <c r="E56" t="s">
        <v>35</v>
      </c>
      <c r="F56" t="s">
        <v>28</v>
      </c>
      <c r="G56" t="s">
        <v>77</v>
      </c>
      <c r="H56" s="1">
        <v>46077</v>
      </c>
      <c r="I56" s="1">
        <v>46053</v>
      </c>
      <c r="J56" s="1">
        <v>46080</v>
      </c>
      <c r="K56" s="3">
        <v>20</v>
      </c>
      <c r="L56" s="3">
        <v>12</v>
      </c>
      <c r="M56" t="s">
        <v>45</v>
      </c>
    </row>
    <row r="57" spans="1:13" x14ac:dyDescent="0.3">
      <c r="A57" t="s">
        <v>124</v>
      </c>
      <c r="B57" t="s">
        <v>62</v>
      </c>
      <c r="C57" t="s">
        <v>40</v>
      </c>
      <c r="D57" t="s">
        <v>63</v>
      </c>
      <c r="E57" t="s">
        <v>64</v>
      </c>
      <c r="F57" t="s">
        <v>21</v>
      </c>
      <c r="G57" t="s">
        <v>94</v>
      </c>
      <c r="H57" s="1">
        <v>46078</v>
      </c>
      <c r="I57" s="1">
        <v>46054</v>
      </c>
      <c r="J57" s="1">
        <v>46081</v>
      </c>
      <c r="K57" s="3">
        <v>12</v>
      </c>
      <c r="L57" s="3">
        <v>12</v>
      </c>
      <c r="M57" t="s">
        <v>52</v>
      </c>
    </row>
    <row r="58" spans="1:13" x14ac:dyDescent="0.3">
      <c r="A58" t="s">
        <v>125</v>
      </c>
      <c r="B58" t="s">
        <v>67</v>
      </c>
      <c r="C58" t="s">
        <v>48</v>
      </c>
      <c r="D58" t="s">
        <v>68</v>
      </c>
      <c r="E58" t="s">
        <v>64</v>
      </c>
      <c r="F58" t="s">
        <v>28</v>
      </c>
      <c r="G58" t="s">
        <v>73</v>
      </c>
      <c r="H58" s="1">
        <v>46079</v>
      </c>
      <c r="I58" s="1">
        <v>46055</v>
      </c>
      <c r="J58" s="1">
        <v>46082</v>
      </c>
      <c r="K58" s="3">
        <v>13</v>
      </c>
      <c r="L58" s="3">
        <v>3</v>
      </c>
      <c r="M58" t="s">
        <v>37</v>
      </c>
    </row>
    <row r="59" spans="1:13" x14ac:dyDescent="0.3">
      <c r="A59" t="s">
        <v>126</v>
      </c>
      <c r="B59" t="s">
        <v>17</v>
      </c>
      <c r="C59" t="s">
        <v>18</v>
      </c>
      <c r="D59" t="s">
        <v>19</v>
      </c>
      <c r="E59" t="s">
        <v>20</v>
      </c>
      <c r="F59" t="s">
        <v>43</v>
      </c>
      <c r="G59" t="s">
        <v>70</v>
      </c>
      <c r="H59" s="1">
        <v>46080</v>
      </c>
      <c r="I59" s="1">
        <v>46056</v>
      </c>
      <c r="J59" s="1">
        <v>46083</v>
      </c>
      <c r="K59" s="3">
        <v>14</v>
      </c>
      <c r="L59" s="3">
        <v>4</v>
      </c>
      <c r="M59" t="s">
        <v>45</v>
      </c>
    </row>
    <row r="60" spans="1:13" x14ac:dyDescent="0.3">
      <c r="A60" t="s">
        <v>127</v>
      </c>
      <c r="B60" t="s">
        <v>17</v>
      </c>
      <c r="C60" t="s">
        <v>18</v>
      </c>
      <c r="D60" t="s">
        <v>26</v>
      </c>
      <c r="E60" t="s">
        <v>27</v>
      </c>
      <c r="F60" t="s">
        <v>21</v>
      </c>
      <c r="G60" t="s">
        <v>29</v>
      </c>
      <c r="H60" s="1">
        <v>46081</v>
      </c>
      <c r="I60" s="1">
        <v>46057</v>
      </c>
      <c r="J60" s="1">
        <v>46084</v>
      </c>
      <c r="K60" s="3">
        <v>15</v>
      </c>
      <c r="L60" s="3">
        <v>3.4795698924731102</v>
      </c>
      <c r="M60" t="s">
        <v>37</v>
      </c>
    </row>
    <row r="61" spans="1:13" x14ac:dyDescent="0.3">
      <c r="A61" t="s">
        <v>128</v>
      </c>
      <c r="B61" t="s">
        <v>32</v>
      </c>
      <c r="C61" t="s">
        <v>33</v>
      </c>
      <c r="D61" t="s">
        <v>34</v>
      </c>
      <c r="E61" t="s">
        <v>35</v>
      </c>
      <c r="F61" t="s">
        <v>28</v>
      </c>
      <c r="G61" t="s">
        <v>36</v>
      </c>
      <c r="H61" s="1">
        <v>46082</v>
      </c>
      <c r="I61" s="1">
        <v>46058</v>
      </c>
      <c r="J61" s="1">
        <v>46085</v>
      </c>
      <c r="K61" s="3">
        <v>6.4216536892843896</v>
      </c>
      <c r="L61" s="3">
        <v>6</v>
      </c>
      <c r="M61" t="s">
        <v>52</v>
      </c>
    </row>
    <row r="62" spans="1:13" x14ac:dyDescent="0.3">
      <c r="A62" t="s">
        <v>129</v>
      </c>
      <c r="B62" t="s">
        <v>17</v>
      </c>
      <c r="C62" t="s">
        <v>18</v>
      </c>
      <c r="D62" t="s">
        <v>19</v>
      </c>
      <c r="E62" t="s">
        <v>20</v>
      </c>
      <c r="F62" t="s">
        <v>21</v>
      </c>
      <c r="G62" t="s">
        <v>22</v>
      </c>
      <c r="H62" s="1">
        <v>46083</v>
      </c>
      <c r="I62" s="1">
        <v>46027</v>
      </c>
      <c r="J62" s="1">
        <v>46086</v>
      </c>
      <c r="K62" s="3">
        <v>7</v>
      </c>
      <c r="L62" s="3">
        <v>10</v>
      </c>
      <c r="M62" t="s">
        <v>24</v>
      </c>
    </row>
    <row r="63" spans="1:13" x14ac:dyDescent="0.3">
      <c r="A63" t="s">
        <v>130</v>
      </c>
      <c r="B63" t="s">
        <v>17</v>
      </c>
      <c r="C63" t="s">
        <v>18</v>
      </c>
      <c r="D63" t="s">
        <v>26</v>
      </c>
      <c r="E63" t="s">
        <v>27</v>
      </c>
      <c r="F63" t="s">
        <v>28</v>
      </c>
      <c r="G63" t="s">
        <v>29</v>
      </c>
      <c r="H63" s="1">
        <v>46084</v>
      </c>
      <c r="I63" s="1">
        <v>46028</v>
      </c>
      <c r="J63" s="1">
        <v>46087</v>
      </c>
      <c r="K63" s="3">
        <v>8</v>
      </c>
      <c r="L63" s="3">
        <v>11</v>
      </c>
      <c r="M63" t="s">
        <v>30</v>
      </c>
    </row>
    <row r="64" spans="1:13" x14ac:dyDescent="0.3">
      <c r="A64" t="s">
        <v>131</v>
      </c>
      <c r="B64" t="s">
        <v>32</v>
      </c>
      <c r="C64" t="s">
        <v>33</v>
      </c>
      <c r="D64" t="s">
        <v>34</v>
      </c>
      <c r="E64" t="s">
        <v>35</v>
      </c>
      <c r="F64" t="s">
        <v>21</v>
      </c>
      <c r="G64" t="s">
        <v>36</v>
      </c>
      <c r="H64" s="1">
        <v>46085</v>
      </c>
      <c r="I64" s="1">
        <v>46030</v>
      </c>
      <c r="J64" s="1">
        <v>46088</v>
      </c>
      <c r="K64" s="3">
        <v>9</v>
      </c>
      <c r="L64" s="3">
        <v>14</v>
      </c>
      <c r="M64" t="s">
        <v>37</v>
      </c>
    </row>
    <row r="65" spans="1:13" x14ac:dyDescent="0.3">
      <c r="A65" t="s">
        <v>132</v>
      </c>
      <c r="B65" t="s">
        <v>39</v>
      </c>
      <c r="C65" t="s">
        <v>40</v>
      </c>
      <c r="D65" t="s">
        <v>41</v>
      </c>
      <c r="E65" t="s">
        <v>42</v>
      </c>
      <c r="F65" t="s">
        <v>43</v>
      </c>
      <c r="G65" t="s">
        <v>44</v>
      </c>
      <c r="H65" s="1">
        <v>46086</v>
      </c>
      <c r="I65" s="1">
        <v>46032</v>
      </c>
      <c r="J65" s="1">
        <v>46089</v>
      </c>
      <c r="K65" s="3">
        <v>11</v>
      </c>
      <c r="L65" s="3">
        <v>16</v>
      </c>
      <c r="M65" t="s">
        <v>45</v>
      </c>
    </row>
    <row r="66" spans="1:13" x14ac:dyDescent="0.3">
      <c r="A66" t="s">
        <v>133</v>
      </c>
      <c r="B66" t="s">
        <v>47</v>
      </c>
      <c r="C66" t="s">
        <v>48</v>
      </c>
      <c r="D66" t="s">
        <v>49</v>
      </c>
      <c r="E66" t="s">
        <v>50</v>
      </c>
      <c r="F66" t="s">
        <v>21</v>
      </c>
      <c r="G66" t="s">
        <v>51</v>
      </c>
      <c r="H66" s="1">
        <v>46087</v>
      </c>
      <c r="I66" s="1">
        <v>46031</v>
      </c>
      <c r="J66" s="1">
        <v>46090</v>
      </c>
      <c r="K66" s="3">
        <v>12</v>
      </c>
      <c r="L66" s="3">
        <v>3.2606599925843498</v>
      </c>
      <c r="M66" t="s">
        <v>52</v>
      </c>
    </row>
    <row r="67" spans="1:13" x14ac:dyDescent="0.3">
      <c r="A67" t="s">
        <v>134</v>
      </c>
      <c r="B67" t="s">
        <v>54</v>
      </c>
      <c r="C67" t="s">
        <v>18</v>
      </c>
      <c r="D67" t="s">
        <v>55</v>
      </c>
      <c r="E67" t="s">
        <v>20</v>
      </c>
      <c r="F67" t="s">
        <v>21</v>
      </c>
      <c r="G67" t="s">
        <v>56</v>
      </c>
      <c r="H67" s="1">
        <v>46088</v>
      </c>
      <c r="I67" s="1">
        <v>46034</v>
      </c>
      <c r="J67" s="1">
        <v>46091</v>
      </c>
      <c r="K67" s="3">
        <v>1</v>
      </c>
      <c r="L67" s="3">
        <v>3</v>
      </c>
      <c r="M67" t="s">
        <v>37</v>
      </c>
    </row>
    <row r="68" spans="1:13" x14ac:dyDescent="0.3">
      <c r="A68" t="s">
        <v>135</v>
      </c>
      <c r="B68" t="s">
        <v>58</v>
      </c>
      <c r="C68" t="s">
        <v>33</v>
      </c>
      <c r="D68" t="s">
        <v>59</v>
      </c>
      <c r="E68" t="s">
        <v>35</v>
      </c>
      <c r="F68" t="s">
        <v>28</v>
      </c>
      <c r="G68" t="s">
        <v>60</v>
      </c>
      <c r="H68" s="1">
        <v>46089</v>
      </c>
      <c r="I68" s="1">
        <v>46036</v>
      </c>
      <c r="J68" s="1">
        <v>46092</v>
      </c>
      <c r="K68" s="3">
        <v>12</v>
      </c>
      <c r="L68" s="3">
        <v>7</v>
      </c>
      <c r="M68" t="s">
        <v>45</v>
      </c>
    </row>
    <row r="69" spans="1:13" x14ac:dyDescent="0.3">
      <c r="A69" t="s">
        <v>136</v>
      </c>
      <c r="B69" t="s">
        <v>62</v>
      </c>
      <c r="C69" t="s">
        <v>40</v>
      </c>
      <c r="D69" t="s">
        <v>63</v>
      </c>
      <c r="E69" t="s">
        <v>64</v>
      </c>
      <c r="F69" t="s">
        <v>21</v>
      </c>
      <c r="G69" t="s">
        <v>65</v>
      </c>
      <c r="H69" s="1">
        <v>46090</v>
      </c>
      <c r="I69" s="1">
        <v>46035</v>
      </c>
      <c r="J69" s="1">
        <v>46093</v>
      </c>
      <c r="K69" s="3">
        <v>6.0959584723767097</v>
      </c>
      <c r="L69" s="3">
        <v>8</v>
      </c>
      <c r="M69" t="s">
        <v>52</v>
      </c>
    </row>
    <row r="70" spans="1:13" x14ac:dyDescent="0.3">
      <c r="A70" t="s">
        <v>137</v>
      </c>
      <c r="B70" t="s">
        <v>67</v>
      </c>
      <c r="C70" t="s">
        <v>48</v>
      </c>
      <c r="D70" t="s">
        <v>68</v>
      </c>
      <c r="E70" t="s">
        <v>64</v>
      </c>
      <c r="F70" t="s">
        <v>21</v>
      </c>
      <c r="G70" t="s">
        <v>36</v>
      </c>
      <c r="H70" s="1">
        <v>46091</v>
      </c>
      <c r="I70" s="1">
        <v>46037</v>
      </c>
      <c r="J70" s="1">
        <v>46094</v>
      </c>
      <c r="K70" s="3">
        <v>1</v>
      </c>
      <c r="L70" s="3">
        <v>9</v>
      </c>
      <c r="M70" t="s">
        <v>37</v>
      </c>
    </row>
    <row r="71" spans="1:13" x14ac:dyDescent="0.3">
      <c r="A71" t="s">
        <v>138</v>
      </c>
      <c r="B71" t="s">
        <v>17</v>
      </c>
      <c r="C71" t="s">
        <v>18</v>
      </c>
      <c r="D71" t="s">
        <v>19</v>
      </c>
      <c r="E71" t="s">
        <v>20</v>
      </c>
      <c r="F71" t="s">
        <v>28</v>
      </c>
      <c r="G71" t="s">
        <v>70</v>
      </c>
      <c r="H71" s="1">
        <v>46092</v>
      </c>
      <c r="I71" s="1">
        <v>46038</v>
      </c>
      <c r="J71" s="1">
        <v>46095</v>
      </c>
      <c r="K71" s="3">
        <v>12</v>
      </c>
      <c r="L71" s="3">
        <v>5</v>
      </c>
      <c r="M71" t="s">
        <v>37</v>
      </c>
    </row>
    <row r="72" spans="1:13" x14ac:dyDescent="0.3">
      <c r="A72" t="s">
        <v>139</v>
      </c>
      <c r="B72" t="s">
        <v>17</v>
      </c>
      <c r="C72" t="s">
        <v>18</v>
      </c>
      <c r="D72" t="s">
        <v>26</v>
      </c>
      <c r="E72" t="s">
        <v>27</v>
      </c>
      <c r="F72" t="s">
        <v>43</v>
      </c>
      <c r="G72" t="s">
        <v>29</v>
      </c>
      <c r="H72" s="1">
        <v>46093</v>
      </c>
      <c r="I72" s="1">
        <v>46039</v>
      </c>
      <c r="J72" s="1">
        <v>46096</v>
      </c>
      <c r="K72" s="3">
        <v>3</v>
      </c>
      <c r="L72" s="3">
        <v>6</v>
      </c>
      <c r="M72" t="s">
        <v>45</v>
      </c>
    </row>
    <row r="73" spans="1:13" x14ac:dyDescent="0.3">
      <c r="A73" t="s">
        <v>140</v>
      </c>
      <c r="B73" t="s">
        <v>32</v>
      </c>
      <c r="C73" t="s">
        <v>33</v>
      </c>
      <c r="D73" t="s">
        <v>34</v>
      </c>
      <c r="E73" t="s">
        <v>35</v>
      </c>
      <c r="F73" t="s">
        <v>21</v>
      </c>
      <c r="G73" t="s">
        <v>73</v>
      </c>
      <c r="H73" s="1">
        <v>46094</v>
      </c>
      <c r="I73" s="1">
        <v>46040</v>
      </c>
      <c r="J73" s="1">
        <v>46097</v>
      </c>
      <c r="K73" s="3">
        <v>5.9331108639228702</v>
      </c>
      <c r="L73" s="3">
        <v>7</v>
      </c>
      <c r="M73" t="s">
        <v>52</v>
      </c>
    </row>
    <row r="74" spans="1:13" x14ac:dyDescent="0.3">
      <c r="A74" t="s">
        <v>141</v>
      </c>
      <c r="B74" t="s">
        <v>39</v>
      </c>
      <c r="C74" t="s">
        <v>40</v>
      </c>
      <c r="D74" t="s">
        <v>41</v>
      </c>
      <c r="E74" t="s">
        <v>42</v>
      </c>
      <c r="F74" t="s">
        <v>28</v>
      </c>
      <c r="G74" t="s">
        <v>75</v>
      </c>
      <c r="H74" s="1">
        <v>46095</v>
      </c>
      <c r="I74" s="1">
        <v>46041</v>
      </c>
      <c r="J74" s="1">
        <v>46098</v>
      </c>
      <c r="K74" s="3">
        <v>4</v>
      </c>
      <c r="L74" s="3">
        <v>1</v>
      </c>
      <c r="M74" t="s">
        <v>37</v>
      </c>
    </row>
    <row r="75" spans="1:13" x14ac:dyDescent="0.3">
      <c r="A75" t="s">
        <v>142</v>
      </c>
      <c r="B75" t="s">
        <v>47</v>
      </c>
      <c r="C75" t="s">
        <v>48</v>
      </c>
      <c r="D75" t="s">
        <v>49</v>
      </c>
      <c r="E75" t="s">
        <v>50</v>
      </c>
      <c r="F75" t="s">
        <v>43</v>
      </c>
      <c r="G75" t="s">
        <v>77</v>
      </c>
      <c r="H75" s="1">
        <v>46096</v>
      </c>
      <c r="I75" s="1">
        <v>46042</v>
      </c>
      <c r="J75" s="1">
        <v>46099</v>
      </c>
      <c r="K75" s="3">
        <v>12</v>
      </c>
      <c r="L75" s="3">
        <v>3</v>
      </c>
      <c r="M75" t="s">
        <v>45</v>
      </c>
    </row>
    <row r="76" spans="1:13" x14ac:dyDescent="0.3">
      <c r="A76" t="s">
        <v>143</v>
      </c>
      <c r="B76" t="s">
        <v>54</v>
      </c>
      <c r="C76" t="s">
        <v>18</v>
      </c>
      <c r="D76" t="s">
        <v>55</v>
      </c>
      <c r="E76" t="s">
        <v>20</v>
      </c>
      <c r="F76" t="s">
        <v>21</v>
      </c>
      <c r="G76" t="s">
        <v>29</v>
      </c>
      <c r="H76" s="1">
        <v>46097</v>
      </c>
      <c r="I76" s="1">
        <v>46043</v>
      </c>
      <c r="J76" s="1">
        <v>46100</v>
      </c>
      <c r="K76" s="3">
        <v>1</v>
      </c>
      <c r="L76" s="3">
        <v>2.8958101594364098</v>
      </c>
      <c r="M76" t="s">
        <v>30</v>
      </c>
    </row>
    <row r="77" spans="1:13" x14ac:dyDescent="0.3">
      <c r="A77" t="s">
        <v>144</v>
      </c>
      <c r="B77" t="s">
        <v>58</v>
      </c>
      <c r="C77" t="s">
        <v>33</v>
      </c>
      <c r="D77" t="s">
        <v>59</v>
      </c>
      <c r="E77" t="s">
        <v>35</v>
      </c>
      <c r="F77" t="s">
        <v>28</v>
      </c>
      <c r="G77" t="s">
        <v>80</v>
      </c>
      <c r="H77" s="1">
        <v>46098</v>
      </c>
      <c r="I77" s="1">
        <v>46044</v>
      </c>
      <c r="J77" s="1">
        <v>46101</v>
      </c>
      <c r="K77" s="3">
        <v>12</v>
      </c>
      <c r="L77" s="3">
        <v>4</v>
      </c>
      <c r="M77" t="s">
        <v>37</v>
      </c>
    </row>
    <row r="78" spans="1:13" x14ac:dyDescent="0.3">
      <c r="A78" t="s">
        <v>145</v>
      </c>
      <c r="B78" t="s">
        <v>62</v>
      </c>
      <c r="C78" t="s">
        <v>40</v>
      </c>
      <c r="D78" t="s">
        <v>63</v>
      </c>
      <c r="E78" t="s">
        <v>64</v>
      </c>
      <c r="F78" t="s">
        <v>21</v>
      </c>
      <c r="G78" t="s">
        <v>82</v>
      </c>
      <c r="H78" s="1">
        <v>46099</v>
      </c>
      <c r="I78" s="1">
        <v>46045</v>
      </c>
      <c r="J78" s="1">
        <v>46102</v>
      </c>
      <c r="K78" s="3">
        <v>1</v>
      </c>
      <c r="L78" s="3">
        <v>5</v>
      </c>
      <c r="M78" t="s">
        <v>52</v>
      </c>
    </row>
    <row r="79" spans="1:13" x14ac:dyDescent="0.3">
      <c r="A79" t="s">
        <v>146</v>
      </c>
      <c r="B79" t="s">
        <v>67</v>
      </c>
      <c r="C79" t="s">
        <v>48</v>
      </c>
      <c r="D79" t="s">
        <v>68</v>
      </c>
      <c r="E79" t="s">
        <v>64</v>
      </c>
      <c r="F79" t="s">
        <v>28</v>
      </c>
      <c r="G79" t="s">
        <v>73</v>
      </c>
      <c r="H79" s="1">
        <v>46100</v>
      </c>
      <c r="I79" s="1">
        <v>46046</v>
      </c>
      <c r="J79" s="1">
        <v>46103</v>
      </c>
      <c r="K79" s="3">
        <v>13</v>
      </c>
      <c r="L79" s="3">
        <v>6</v>
      </c>
      <c r="M79" t="s">
        <v>37</v>
      </c>
    </row>
    <row r="80" spans="1:13" x14ac:dyDescent="0.3">
      <c r="A80" t="s">
        <v>147</v>
      </c>
      <c r="B80" t="s">
        <v>17</v>
      </c>
      <c r="C80" t="s">
        <v>18</v>
      </c>
      <c r="D80" t="s">
        <v>19</v>
      </c>
      <c r="E80" t="s">
        <v>20</v>
      </c>
      <c r="F80" t="s">
        <v>21</v>
      </c>
      <c r="G80" t="s">
        <v>22</v>
      </c>
      <c r="H80" s="1">
        <v>46101</v>
      </c>
      <c r="I80" s="1">
        <v>46047</v>
      </c>
      <c r="J80" s="1">
        <v>46104</v>
      </c>
      <c r="K80" s="3">
        <v>15</v>
      </c>
      <c r="L80" s="3">
        <v>7</v>
      </c>
      <c r="M80" t="s">
        <v>37</v>
      </c>
    </row>
    <row r="81" spans="1:13" x14ac:dyDescent="0.3">
      <c r="A81" t="s">
        <v>148</v>
      </c>
      <c r="B81" t="s">
        <v>17</v>
      </c>
      <c r="C81" t="s">
        <v>18</v>
      </c>
      <c r="D81" t="s">
        <v>26</v>
      </c>
      <c r="E81" t="s">
        <v>27</v>
      </c>
      <c r="F81" t="s">
        <v>28</v>
      </c>
      <c r="G81" t="s">
        <v>29</v>
      </c>
      <c r="H81" s="1">
        <v>46102</v>
      </c>
      <c r="I81" s="1">
        <v>46048</v>
      </c>
      <c r="J81" s="1">
        <v>46105</v>
      </c>
      <c r="K81" s="3">
        <v>5.6074156470152001</v>
      </c>
      <c r="L81" s="3">
        <v>8</v>
      </c>
      <c r="M81" t="s">
        <v>45</v>
      </c>
    </row>
    <row r="82" spans="1:13" x14ac:dyDescent="0.3">
      <c r="A82" t="s">
        <v>149</v>
      </c>
      <c r="B82" t="s">
        <v>32</v>
      </c>
      <c r="C82" t="s">
        <v>33</v>
      </c>
      <c r="D82" t="s">
        <v>34</v>
      </c>
      <c r="E82" t="s">
        <v>35</v>
      </c>
      <c r="F82" t="s">
        <v>21</v>
      </c>
      <c r="G82" t="s">
        <v>87</v>
      </c>
      <c r="H82" s="1">
        <v>46103</v>
      </c>
      <c r="I82" s="1">
        <v>46049</v>
      </c>
      <c r="J82" s="1">
        <v>46106</v>
      </c>
      <c r="K82" s="3">
        <v>17</v>
      </c>
      <c r="L82" s="3">
        <v>9</v>
      </c>
      <c r="M82" t="s">
        <v>52</v>
      </c>
    </row>
    <row r="83" spans="1:13" x14ac:dyDescent="0.3">
      <c r="A83" t="s">
        <v>150</v>
      </c>
      <c r="B83" t="s">
        <v>39</v>
      </c>
      <c r="C83" t="s">
        <v>40</v>
      </c>
      <c r="D83" t="s">
        <v>41</v>
      </c>
      <c r="E83" t="s">
        <v>42</v>
      </c>
      <c r="F83" t="s">
        <v>43</v>
      </c>
      <c r="G83" t="s">
        <v>89</v>
      </c>
      <c r="H83" s="1">
        <v>46104</v>
      </c>
      <c r="I83" s="1">
        <v>46050</v>
      </c>
      <c r="J83" s="1">
        <v>46107</v>
      </c>
      <c r="K83" s="3">
        <v>8</v>
      </c>
      <c r="L83" s="3">
        <v>1</v>
      </c>
      <c r="M83" t="s">
        <v>37</v>
      </c>
    </row>
    <row r="84" spans="1:13" x14ac:dyDescent="0.3">
      <c r="A84" t="s">
        <v>151</v>
      </c>
      <c r="B84" t="s">
        <v>47</v>
      </c>
      <c r="C84" t="s">
        <v>48</v>
      </c>
      <c r="D84" t="s">
        <v>49</v>
      </c>
      <c r="E84" t="s">
        <v>50</v>
      </c>
      <c r="F84" t="s">
        <v>21</v>
      </c>
      <c r="G84" t="s">
        <v>51</v>
      </c>
      <c r="H84" s="1">
        <v>46105</v>
      </c>
      <c r="I84" s="1">
        <v>46051</v>
      </c>
      <c r="J84" s="1">
        <v>46108</v>
      </c>
      <c r="K84" s="3">
        <v>9</v>
      </c>
      <c r="L84" s="3">
        <v>21</v>
      </c>
      <c r="M84" t="s">
        <v>30</v>
      </c>
    </row>
    <row r="85" spans="1:13" x14ac:dyDescent="0.3">
      <c r="A85" t="s">
        <v>152</v>
      </c>
      <c r="B85" t="s">
        <v>54</v>
      </c>
      <c r="C85" t="s">
        <v>18</v>
      </c>
      <c r="D85" t="s">
        <v>55</v>
      </c>
      <c r="E85" t="s">
        <v>20</v>
      </c>
      <c r="F85" t="s">
        <v>21</v>
      </c>
      <c r="G85" t="s">
        <v>29</v>
      </c>
      <c r="H85" s="1">
        <v>46106</v>
      </c>
      <c r="I85" s="1">
        <v>46052</v>
      </c>
      <c r="J85" s="1">
        <v>46109</v>
      </c>
      <c r="K85" s="3">
        <v>5.4445680385613597</v>
      </c>
      <c r="L85" s="3">
        <v>2.5674453096032601</v>
      </c>
      <c r="M85" t="s">
        <v>37</v>
      </c>
    </row>
    <row r="86" spans="1:13" x14ac:dyDescent="0.3">
      <c r="A86" t="s">
        <v>153</v>
      </c>
      <c r="B86" t="s">
        <v>58</v>
      </c>
      <c r="C86" t="s">
        <v>33</v>
      </c>
      <c r="D86" t="s">
        <v>59</v>
      </c>
      <c r="E86" t="s">
        <v>35</v>
      </c>
      <c r="F86" t="s">
        <v>28</v>
      </c>
      <c r="G86" t="s">
        <v>77</v>
      </c>
      <c r="H86" s="1">
        <v>46107</v>
      </c>
      <c r="I86" s="1">
        <v>46053</v>
      </c>
      <c r="J86" s="1">
        <v>46110</v>
      </c>
      <c r="K86" s="3">
        <v>2</v>
      </c>
      <c r="L86" s="3">
        <v>23</v>
      </c>
      <c r="M86" t="s">
        <v>45</v>
      </c>
    </row>
    <row r="87" spans="1:13" x14ac:dyDescent="0.3">
      <c r="A87" t="s">
        <v>154</v>
      </c>
      <c r="B87" t="s">
        <v>62</v>
      </c>
      <c r="C87" t="s">
        <v>40</v>
      </c>
      <c r="D87" t="s">
        <v>63</v>
      </c>
      <c r="E87" t="s">
        <v>64</v>
      </c>
      <c r="F87" t="s">
        <v>21</v>
      </c>
      <c r="G87" t="s">
        <v>94</v>
      </c>
      <c r="H87" s="1">
        <v>46108</v>
      </c>
      <c r="I87" s="1">
        <v>46054</v>
      </c>
      <c r="J87" s="1">
        <v>46111</v>
      </c>
      <c r="K87" s="3">
        <v>11</v>
      </c>
      <c r="L87" s="3">
        <v>12</v>
      </c>
      <c r="M87" t="s">
        <v>52</v>
      </c>
    </row>
    <row r="88" spans="1:13" x14ac:dyDescent="0.3">
      <c r="A88" t="s">
        <v>155</v>
      </c>
      <c r="B88" t="s">
        <v>67</v>
      </c>
      <c r="C88" t="s">
        <v>48</v>
      </c>
      <c r="D88" t="s">
        <v>68</v>
      </c>
      <c r="E88" t="s">
        <v>64</v>
      </c>
      <c r="F88" t="s">
        <v>28</v>
      </c>
      <c r="G88" t="s">
        <v>73</v>
      </c>
      <c r="H88" s="1">
        <v>46109</v>
      </c>
      <c r="I88" s="1">
        <v>46055</v>
      </c>
      <c r="J88" s="1">
        <v>46112</v>
      </c>
      <c r="K88" s="3">
        <v>13</v>
      </c>
      <c r="L88" s="3">
        <v>11</v>
      </c>
      <c r="M88" t="s">
        <v>37</v>
      </c>
    </row>
    <row r="89" spans="1:13" x14ac:dyDescent="0.3">
      <c r="A89" t="s">
        <v>156</v>
      </c>
      <c r="B89" t="s">
        <v>17</v>
      </c>
      <c r="C89" t="s">
        <v>18</v>
      </c>
      <c r="D89" t="s">
        <v>19</v>
      </c>
      <c r="E89" t="s">
        <v>20</v>
      </c>
      <c r="F89" t="s">
        <v>43</v>
      </c>
      <c r="G89" t="s">
        <v>70</v>
      </c>
      <c r="H89" s="1">
        <v>46110</v>
      </c>
      <c r="I89" s="1">
        <v>46056</v>
      </c>
      <c r="J89" s="1">
        <v>46113</v>
      </c>
      <c r="K89" s="3">
        <v>12</v>
      </c>
      <c r="L89" s="3">
        <v>10</v>
      </c>
      <c r="M89" t="s">
        <v>45</v>
      </c>
    </row>
    <row r="90" spans="1:13" x14ac:dyDescent="0.3">
      <c r="A90" t="s">
        <v>157</v>
      </c>
      <c r="B90" t="s">
        <v>17</v>
      </c>
      <c r="C90" t="s">
        <v>18</v>
      </c>
      <c r="D90" t="s">
        <v>26</v>
      </c>
      <c r="E90" t="s">
        <v>27</v>
      </c>
      <c r="F90" t="s">
        <v>21</v>
      </c>
      <c r="G90" t="s">
        <v>29</v>
      </c>
      <c r="H90" s="1">
        <v>46111</v>
      </c>
      <c r="I90" s="1">
        <v>46057</v>
      </c>
      <c r="J90" s="1">
        <v>46114</v>
      </c>
      <c r="K90" s="3">
        <v>11</v>
      </c>
      <c r="L90" s="3">
        <v>2.3850203930292899</v>
      </c>
      <c r="M90" t="s">
        <v>37</v>
      </c>
    </row>
    <row r="91" spans="1:13" x14ac:dyDescent="0.3">
      <c r="A91" t="s">
        <v>158</v>
      </c>
      <c r="B91" t="s">
        <v>32</v>
      </c>
      <c r="C91" t="s">
        <v>33</v>
      </c>
      <c r="D91" t="s">
        <v>34</v>
      </c>
      <c r="E91" t="s">
        <v>35</v>
      </c>
      <c r="F91" t="s">
        <v>28</v>
      </c>
      <c r="G91" t="s">
        <v>36</v>
      </c>
      <c r="H91" s="1">
        <v>46112</v>
      </c>
      <c r="I91" s="1">
        <v>46058</v>
      </c>
      <c r="J91" s="1">
        <v>46115</v>
      </c>
      <c r="K91" s="3">
        <v>12</v>
      </c>
      <c r="L91" s="3">
        <v>3</v>
      </c>
      <c r="M91" t="s">
        <v>52</v>
      </c>
    </row>
    <row r="92" spans="1:13" x14ac:dyDescent="0.3">
      <c r="A92" t="s">
        <v>159</v>
      </c>
      <c r="B92" t="s">
        <v>17</v>
      </c>
      <c r="C92" t="s">
        <v>18</v>
      </c>
      <c r="D92" t="s">
        <v>19</v>
      </c>
      <c r="E92" t="s">
        <v>20</v>
      </c>
      <c r="F92" t="s">
        <v>21</v>
      </c>
      <c r="G92" t="s">
        <v>22</v>
      </c>
      <c r="H92" s="1">
        <v>46113</v>
      </c>
      <c r="I92" s="1">
        <v>46027</v>
      </c>
      <c r="J92" s="1">
        <v>46116</v>
      </c>
      <c r="K92" s="3">
        <v>13</v>
      </c>
      <c r="L92" s="3">
        <v>7</v>
      </c>
      <c r="M92" t="s">
        <v>24</v>
      </c>
    </row>
    <row r="93" spans="1:13" x14ac:dyDescent="0.3">
      <c r="A93" t="s">
        <v>160</v>
      </c>
      <c r="B93" t="s">
        <v>17</v>
      </c>
      <c r="C93" t="s">
        <v>18</v>
      </c>
      <c r="D93" t="s">
        <v>26</v>
      </c>
      <c r="E93" t="s">
        <v>27</v>
      </c>
      <c r="F93" t="s">
        <v>28</v>
      </c>
      <c r="G93" t="s">
        <v>29</v>
      </c>
      <c r="H93" s="1">
        <v>46114</v>
      </c>
      <c r="I93" s="1">
        <v>46028</v>
      </c>
      <c r="J93" s="1">
        <v>46117</v>
      </c>
      <c r="K93" s="3">
        <v>12</v>
      </c>
      <c r="L93" s="3">
        <v>8</v>
      </c>
      <c r="M93" t="s">
        <v>30</v>
      </c>
    </row>
    <row r="94" spans="1:13" x14ac:dyDescent="0.3">
      <c r="A94" t="s">
        <v>161</v>
      </c>
      <c r="B94" t="s">
        <v>32</v>
      </c>
      <c r="C94" t="s">
        <v>33</v>
      </c>
      <c r="D94" t="s">
        <v>34</v>
      </c>
      <c r="E94" t="s">
        <v>35</v>
      </c>
      <c r="F94" t="s">
        <v>21</v>
      </c>
      <c r="G94" t="s">
        <v>36</v>
      </c>
      <c r="H94" s="1">
        <v>46115</v>
      </c>
      <c r="I94" s="1">
        <v>46030</v>
      </c>
      <c r="J94" s="1">
        <v>46118</v>
      </c>
      <c r="K94" s="3">
        <v>15</v>
      </c>
      <c r="L94" s="3">
        <v>9</v>
      </c>
      <c r="M94" t="s">
        <v>37</v>
      </c>
    </row>
    <row r="95" spans="1:13" x14ac:dyDescent="0.3">
      <c r="A95" t="s">
        <v>162</v>
      </c>
      <c r="B95" t="s">
        <v>39</v>
      </c>
      <c r="C95" t="s">
        <v>40</v>
      </c>
      <c r="D95" t="s">
        <v>41</v>
      </c>
      <c r="E95" t="s">
        <v>42</v>
      </c>
      <c r="F95" t="s">
        <v>43</v>
      </c>
      <c r="G95" t="s">
        <v>44</v>
      </c>
      <c r="H95" s="1">
        <v>46116</v>
      </c>
      <c r="I95" s="1">
        <v>46032</v>
      </c>
      <c r="J95" s="1">
        <v>46119</v>
      </c>
      <c r="K95" s="3">
        <v>3</v>
      </c>
      <c r="L95" s="3">
        <v>4</v>
      </c>
      <c r="M95" t="s">
        <v>45</v>
      </c>
    </row>
    <row r="96" spans="1:13" x14ac:dyDescent="0.3">
      <c r="A96" t="s">
        <v>163</v>
      </c>
      <c r="B96" t="s">
        <v>47</v>
      </c>
      <c r="C96" t="s">
        <v>48</v>
      </c>
      <c r="D96" t="s">
        <v>49</v>
      </c>
      <c r="E96" t="s">
        <v>50</v>
      </c>
      <c r="F96" t="s">
        <v>21</v>
      </c>
      <c r="G96" t="s">
        <v>51</v>
      </c>
      <c r="H96" s="1">
        <v>46117</v>
      </c>
      <c r="I96" s="1">
        <v>46031</v>
      </c>
      <c r="J96" s="1">
        <v>46120</v>
      </c>
      <c r="K96" s="3">
        <v>6</v>
      </c>
      <c r="L96" s="3">
        <v>5</v>
      </c>
      <c r="M96" t="s">
        <v>52</v>
      </c>
    </row>
    <row r="97" spans="1:13" x14ac:dyDescent="0.3">
      <c r="A97" t="s">
        <v>164</v>
      </c>
      <c r="B97" t="s">
        <v>54</v>
      </c>
      <c r="C97" t="s">
        <v>18</v>
      </c>
      <c r="D97" t="s">
        <v>55</v>
      </c>
      <c r="E97" t="s">
        <v>20</v>
      </c>
      <c r="F97" t="s">
        <v>21</v>
      </c>
      <c r="G97" t="s">
        <v>56</v>
      </c>
      <c r="H97" s="1">
        <v>46118</v>
      </c>
      <c r="I97" s="1">
        <v>46034</v>
      </c>
      <c r="J97" s="1">
        <v>46121</v>
      </c>
      <c r="K97" s="3">
        <v>4.9560252131998501</v>
      </c>
      <c r="L97" s="3">
        <v>6</v>
      </c>
      <c r="M97" t="s">
        <v>37</v>
      </c>
    </row>
    <row r="98" spans="1:13" x14ac:dyDescent="0.3">
      <c r="A98" t="s">
        <v>165</v>
      </c>
      <c r="B98" t="s">
        <v>58</v>
      </c>
      <c r="C98" t="s">
        <v>33</v>
      </c>
      <c r="D98" t="s">
        <v>59</v>
      </c>
      <c r="E98" t="s">
        <v>35</v>
      </c>
      <c r="F98" t="s">
        <v>28</v>
      </c>
      <c r="G98" t="s">
        <v>60</v>
      </c>
      <c r="H98" s="1">
        <v>46119</v>
      </c>
      <c r="I98" s="1">
        <v>46036</v>
      </c>
      <c r="J98" s="1">
        <v>46122</v>
      </c>
      <c r="K98" s="3">
        <v>7</v>
      </c>
      <c r="L98" s="3">
        <v>8</v>
      </c>
      <c r="M98" t="s">
        <v>45</v>
      </c>
    </row>
    <row r="99" spans="1:13" x14ac:dyDescent="0.3">
      <c r="A99" t="s">
        <v>166</v>
      </c>
      <c r="B99" t="s">
        <v>62</v>
      </c>
      <c r="C99" t="s">
        <v>40</v>
      </c>
      <c r="D99" t="s">
        <v>63</v>
      </c>
      <c r="E99" t="s">
        <v>64</v>
      </c>
      <c r="F99" t="s">
        <v>21</v>
      </c>
      <c r="G99" t="s">
        <v>65</v>
      </c>
      <c r="H99" s="1">
        <v>46120</v>
      </c>
      <c r="I99" s="1">
        <v>46035</v>
      </c>
      <c r="J99" s="1">
        <v>46123</v>
      </c>
      <c r="K99" s="3">
        <v>8</v>
      </c>
      <c r="L99" s="3">
        <v>1</v>
      </c>
      <c r="M99" t="s">
        <v>52</v>
      </c>
    </row>
    <row r="100" spans="1:13" x14ac:dyDescent="0.3">
      <c r="A100" t="s">
        <v>167</v>
      </c>
      <c r="B100" t="s">
        <v>67</v>
      </c>
      <c r="C100" t="s">
        <v>48</v>
      </c>
      <c r="D100" t="s">
        <v>68</v>
      </c>
      <c r="E100" t="s">
        <v>64</v>
      </c>
      <c r="F100" t="s">
        <v>21</v>
      </c>
      <c r="G100" t="s">
        <v>36</v>
      </c>
      <c r="H100" s="1">
        <v>46121</v>
      </c>
      <c r="I100" s="1">
        <v>46037</v>
      </c>
      <c r="J100" s="1">
        <v>46124</v>
      </c>
      <c r="K100" s="3">
        <v>9</v>
      </c>
      <c r="L100" s="3">
        <v>11</v>
      </c>
      <c r="M100" t="s">
        <v>37</v>
      </c>
    </row>
    <row r="101" spans="1:13" x14ac:dyDescent="0.3">
      <c r="A101" t="s">
        <v>168</v>
      </c>
      <c r="B101" t="s">
        <v>17</v>
      </c>
      <c r="C101" t="s">
        <v>18</v>
      </c>
      <c r="D101" t="s">
        <v>19</v>
      </c>
      <c r="E101" t="s">
        <v>20</v>
      </c>
      <c r="F101" t="s">
        <v>28</v>
      </c>
      <c r="G101" t="s">
        <v>70</v>
      </c>
      <c r="H101" s="1">
        <v>46122</v>
      </c>
      <c r="I101" s="1">
        <v>46038</v>
      </c>
      <c r="J101" s="1">
        <v>46125</v>
      </c>
      <c r="K101" s="3">
        <v>11</v>
      </c>
      <c r="L101" s="3">
        <v>8</v>
      </c>
      <c r="M101" t="s">
        <v>37</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48169-9D8F-4D54-A330-E90FB125DC0C}">
  <dimension ref="A1:M101"/>
  <sheetViews>
    <sheetView topLeftCell="A17" workbookViewId="0">
      <selection activeCell="J102" sqref="J102"/>
    </sheetView>
  </sheetViews>
  <sheetFormatPr defaultRowHeight="14.4" x14ac:dyDescent="0.3"/>
  <cols>
    <col min="2" max="2" width="14.21875" customWidth="1"/>
    <col min="3" max="3" width="12.88671875" customWidth="1"/>
    <col min="4" max="4" width="12.5546875" customWidth="1"/>
    <col min="6" max="6" width="9" customWidth="1"/>
    <col min="7" max="7" width="14.33203125" customWidth="1"/>
    <col min="8" max="8" width="11.21875" customWidth="1"/>
    <col min="9" max="9" width="10.33203125" customWidth="1"/>
    <col min="10" max="10" width="16.88671875" customWidth="1"/>
    <col min="11" max="11" width="16.6640625" customWidth="1"/>
    <col min="12" max="12" width="13.44140625" customWidth="1"/>
    <col min="13" max="13" width="10.21875" customWidth="1"/>
  </cols>
  <sheetData>
    <row r="1" spans="1:13" x14ac:dyDescent="0.3">
      <c r="A1" t="s">
        <v>0</v>
      </c>
      <c r="B1" t="s">
        <v>1</v>
      </c>
      <c r="C1" t="s">
        <v>2</v>
      </c>
      <c r="D1" t="s">
        <v>3</v>
      </c>
      <c r="E1" t="s">
        <v>4</v>
      </c>
      <c r="F1" t="s">
        <v>5</v>
      </c>
      <c r="G1" t="s">
        <v>6</v>
      </c>
      <c r="H1" t="s">
        <v>7</v>
      </c>
      <c r="I1" t="s">
        <v>8</v>
      </c>
      <c r="J1" t="s">
        <v>9</v>
      </c>
      <c r="K1" t="s">
        <v>12</v>
      </c>
      <c r="L1" t="s">
        <v>13</v>
      </c>
      <c r="M1" t="s">
        <v>15</v>
      </c>
    </row>
    <row r="2" spans="1:13" x14ac:dyDescent="0.3">
      <c r="A2" t="s">
        <v>16</v>
      </c>
      <c r="B2" t="s">
        <v>17</v>
      </c>
      <c r="C2" t="s">
        <v>18</v>
      </c>
      <c r="D2" t="s">
        <v>19</v>
      </c>
      <c r="E2" t="s">
        <v>20</v>
      </c>
      <c r="F2" t="s">
        <v>21</v>
      </c>
      <c r="G2" t="s">
        <v>22</v>
      </c>
      <c r="H2" s="1">
        <v>46023</v>
      </c>
      <c r="I2" s="1">
        <v>46027</v>
      </c>
      <c r="J2" s="1">
        <v>46026</v>
      </c>
      <c r="K2">
        <v>10</v>
      </c>
      <c r="L2">
        <v>9</v>
      </c>
      <c r="M2" t="s">
        <v>24</v>
      </c>
    </row>
    <row r="3" spans="1:13" x14ac:dyDescent="0.3">
      <c r="A3" t="s">
        <v>25</v>
      </c>
      <c r="B3" t="s">
        <v>17</v>
      </c>
      <c r="C3" t="s">
        <v>18</v>
      </c>
      <c r="D3" t="s">
        <v>26</v>
      </c>
      <c r="E3" t="s">
        <v>27</v>
      </c>
      <c r="F3" t="s">
        <v>28</v>
      </c>
      <c r="G3" t="s">
        <v>29</v>
      </c>
      <c r="H3" s="1">
        <v>46024</v>
      </c>
      <c r="I3" s="1">
        <v>46028</v>
      </c>
      <c r="J3" s="1">
        <v>46027</v>
      </c>
      <c r="K3">
        <v>8</v>
      </c>
      <c r="L3">
        <v>10</v>
      </c>
      <c r="M3" t="s">
        <v>30</v>
      </c>
    </row>
    <row r="4" spans="1:13" x14ac:dyDescent="0.3">
      <c r="A4" t="s">
        <v>31</v>
      </c>
      <c r="B4" t="s">
        <v>32</v>
      </c>
      <c r="C4" t="s">
        <v>33</v>
      </c>
      <c r="D4" t="s">
        <v>34</v>
      </c>
      <c r="E4" t="s">
        <v>35</v>
      </c>
      <c r="F4" t="s">
        <v>21</v>
      </c>
      <c r="G4" t="s">
        <v>36</v>
      </c>
      <c r="H4" s="1">
        <v>46025</v>
      </c>
      <c r="I4" s="1">
        <v>46030</v>
      </c>
      <c r="J4" s="1">
        <v>46028</v>
      </c>
      <c r="K4">
        <v>12</v>
      </c>
      <c r="L4">
        <v>7</v>
      </c>
      <c r="M4" t="s">
        <v>37</v>
      </c>
    </row>
    <row r="5" spans="1:13" x14ac:dyDescent="0.3">
      <c r="A5" t="s">
        <v>38</v>
      </c>
      <c r="B5" t="s">
        <v>39</v>
      </c>
      <c r="C5" t="s">
        <v>40</v>
      </c>
      <c r="D5" t="s">
        <v>41</v>
      </c>
      <c r="E5" t="s">
        <v>42</v>
      </c>
      <c r="F5" t="s">
        <v>43</v>
      </c>
      <c r="G5" t="s">
        <v>44</v>
      </c>
      <c r="H5" s="1">
        <v>46026</v>
      </c>
      <c r="I5" s="1">
        <v>46032</v>
      </c>
      <c r="J5" s="1">
        <v>46029</v>
      </c>
      <c r="K5">
        <v>6</v>
      </c>
      <c r="L5">
        <v>0</v>
      </c>
      <c r="M5" t="s">
        <v>45</v>
      </c>
    </row>
    <row r="6" spans="1:13" x14ac:dyDescent="0.3">
      <c r="A6" t="s">
        <v>46</v>
      </c>
      <c r="B6" t="s">
        <v>47</v>
      </c>
      <c r="C6" t="s">
        <v>48</v>
      </c>
      <c r="D6" t="s">
        <v>49</v>
      </c>
      <c r="E6" t="s">
        <v>50</v>
      </c>
      <c r="F6" t="s">
        <v>21</v>
      </c>
      <c r="G6" t="s">
        <v>51</v>
      </c>
      <c r="H6" s="1">
        <v>46027</v>
      </c>
      <c r="I6" s="1">
        <v>46031</v>
      </c>
      <c r="J6" s="1">
        <v>46030</v>
      </c>
      <c r="K6">
        <v>5</v>
      </c>
      <c r="L6">
        <v>5</v>
      </c>
      <c r="M6" t="s">
        <v>52</v>
      </c>
    </row>
    <row r="7" spans="1:13" x14ac:dyDescent="0.3">
      <c r="A7" t="s">
        <v>53</v>
      </c>
      <c r="B7" t="s">
        <v>54</v>
      </c>
      <c r="C7" t="s">
        <v>18</v>
      </c>
      <c r="D7" t="s">
        <v>55</v>
      </c>
      <c r="E7" t="s">
        <v>20</v>
      </c>
      <c r="F7" t="s">
        <v>21</v>
      </c>
      <c r="G7" t="s">
        <v>56</v>
      </c>
      <c r="H7" s="1">
        <v>46028</v>
      </c>
      <c r="I7" s="1">
        <v>46034</v>
      </c>
      <c r="J7" s="1">
        <v>46031</v>
      </c>
      <c r="K7">
        <v>15</v>
      </c>
      <c r="L7">
        <v>7</v>
      </c>
      <c r="M7" t="s">
        <v>37</v>
      </c>
    </row>
    <row r="8" spans="1:13" x14ac:dyDescent="0.3">
      <c r="A8" t="s">
        <v>57</v>
      </c>
      <c r="B8" t="s">
        <v>58</v>
      </c>
      <c r="C8" t="s">
        <v>33</v>
      </c>
      <c r="D8" t="s">
        <v>59</v>
      </c>
      <c r="E8" t="s">
        <v>35</v>
      </c>
      <c r="F8" t="s">
        <v>28</v>
      </c>
      <c r="G8" t="s">
        <v>60</v>
      </c>
      <c r="H8" s="1">
        <v>46029</v>
      </c>
      <c r="I8" s="1">
        <v>46036</v>
      </c>
      <c r="J8" s="1">
        <v>46032</v>
      </c>
      <c r="K8">
        <v>7</v>
      </c>
      <c r="L8">
        <v>0</v>
      </c>
      <c r="M8" t="s">
        <v>45</v>
      </c>
    </row>
    <row r="9" spans="1:13" x14ac:dyDescent="0.3">
      <c r="A9" t="s">
        <v>61</v>
      </c>
      <c r="B9" t="s">
        <v>62</v>
      </c>
      <c r="C9" t="s">
        <v>40</v>
      </c>
      <c r="D9" t="s">
        <v>63</v>
      </c>
      <c r="E9" t="s">
        <v>64</v>
      </c>
      <c r="F9" t="s">
        <v>21</v>
      </c>
      <c r="G9" t="s">
        <v>65</v>
      </c>
      <c r="H9" s="1">
        <v>46030</v>
      </c>
      <c r="I9" s="1">
        <v>46035</v>
      </c>
      <c r="J9" s="1">
        <v>46033</v>
      </c>
      <c r="K9">
        <v>6</v>
      </c>
      <c r="L9">
        <v>6</v>
      </c>
      <c r="M9" t="s">
        <v>52</v>
      </c>
    </row>
    <row r="10" spans="1:13" x14ac:dyDescent="0.3">
      <c r="A10" t="s">
        <v>66</v>
      </c>
      <c r="B10" t="s">
        <v>67</v>
      </c>
      <c r="C10" t="s">
        <v>48</v>
      </c>
      <c r="D10" t="s">
        <v>68</v>
      </c>
      <c r="E10" t="s">
        <v>64</v>
      </c>
      <c r="F10" t="s">
        <v>21</v>
      </c>
      <c r="G10" t="s">
        <v>36</v>
      </c>
      <c r="H10" s="1">
        <v>46031</v>
      </c>
      <c r="I10" s="1">
        <v>46037</v>
      </c>
      <c r="J10" s="1">
        <v>46034</v>
      </c>
      <c r="K10">
        <v>10</v>
      </c>
      <c r="L10">
        <v>4</v>
      </c>
      <c r="M10" t="s">
        <v>37</v>
      </c>
    </row>
    <row r="11" spans="1:13" x14ac:dyDescent="0.3">
      <c r="A11" t="s">
        <v>69</v>
      </c>
      <c r="B11" t="s">
        <v>17</v>
      </c>
      <c r="C11" t="s">
        <v>18</v>
      </c>
      <c r="D11" t="s">
        <v>19</v>
      </c>
      <c r="E11" t="s">
        <v>20</v>
      </c>
      <c r="F11" t="s">
        <v>28</v>
      </c>
      <c r="G11" t="s">
        <v>70</v>
      </c>
      <c r="H11" s="1">
        <v>46032</v>
      </c>
      <c r="I11" s="1">
        <v>46038</v>
      </c>
      <c r="J11" s="1">
        <v>46035</v>
      </c>
      <c r="K11">
        <v>8</v>
      </c>
      <c r="L11">
        <v>3</v>
      </c>
      <c r="M11" t="s">
        <v>37</v>
      </c>
    </row>
    <row r="12" spans="1:13" x14ac:dyDescent="0.3">
      <c r="A12" t="s">
        <v>71</v>
      </c>
      <c r="B12" t="s">
        <v>17</v>
      </c>
      <c r="C12" t="s">
        <v>18</v>
      </c>
      <c r="D12" t="s">
        <v>26</v>
      </c>
      <c r="E12" t="s">
        <v>27</v>
      </c>
      <c r="F12" t="s">
        <v>43</v>
      </c>
      <c r="G12" t="s">
        <v>29</v>
      </c>
      <c r="H12" s="1">
        <v>46033</v>
      </c>
      <c r="I12" s="1">
        <v>46039</v>
      </c>
      <c r="J12" s="1">
        <v>46036</v>
      </c>
      <c r="K12">
        <v>6</v>
      </c>
      <c r="L12">
        <v>0</v>
      </c>
      <c r="M12" t="s">
        <v>45</v>
      </c>
    </row>
    <row r="13" spans="1:13" x14ac:dyDescent="0.3">
      <c r="A13" t="s">
        <v>72</v>
      </c>
      <c r="B13" t="s">
        <v>32</v>
      </c>
      <c r="C13" t="s">
        <v>33</v>
      </c>
      <c r="D13" t="s">
        <v>34</v>
      </c>
      <c r="E13" t="s">
        <v>35</v>
      </c>
      <c r="F13" t="s">
        <v>21</v>
      </c>
      <c r="G13" t="s">
        <v>73</v>
      </c>
      <c r="H13" s="1">
        <v>46034</v>
      </c>
      <c r="I13" s="1">
        <v>46040</v>
      </c>
      <c r="J13" s="1">
        <v>46037</v>
      </c>
      <c r="K13">
        <v>10</v>
      </c>
      <c r="L13">
        <v>10</v>
      </c>
      <c r="M13" t="s">
        <v>52</v>
      </c>
    </row>
    <row r="14" spans="1:13" x14ac:dyDescent="0.3">
      <c r="A14" t="s">
        <v>74</v>
      </c>
      <c r="B14" t="s">
        <v>39</v>
      </c>
      <c r="C14" t="s">
        <v>40</v>
      </c>
      <c r="D14" t="s">
        <v>41</v>
      </c>
      <c r="E14" t="s">
        <v>42</v>
      </c>
      <c r="F14" t="s">
        <v>28</v>
      </c>
      <c r="G14" t="s">
        <v>75</v>
      </c>
      <c r="H14" s="1">
        <v>46035</v>
      </c>
      <c r="I14" s="1">
        <v>46041</v>
      </c>
      <c r="J14" s="1">
        <v>46038</v>
      </c>
      <c r="K14">
        <v>7</v>
      </c>
      <c r="L14">
        <v>4</v>
      </c>
      <c r="M14" t="s">
        <v>37</v>
      </c>
    </row>
    <row r="15" spans="1:13" x14ac:dyDescent="0.3">
      <c r="A15" t="s">
        <v>76</v>
      </c>
      <c r="B15" t="s">
        <v>47</v>
      </c>
      <c r="C15" t="s">
        <v>48</v>
      </c>
      <c r="D15" t="s">
        <v>49</v>
      </c>
      <c r="E15" t="s">
        <v>50</v>
      </c>
      <c r="F15" t="s">
        <v>43</v>
      </c>
      <c r="G15" t="s">
        <v>77</v>
      </c>
      <c r="H15" s="1">
        <v>46036</v>
      </c>
      <c r="I15" s="1">
        <v>46042</v>
      </c>
      <c r="J15" s="1">
        <v>46039</v>
      </c>
      <c r="K15">
        <v>5</v>
      </c>
      <c r="L15">
        <v>0</v>
      </c>
      <c r="M15" t="s">
        <v>45</v>
      </c>
    </row>
    <row r="16" spans="1:13" x14ac:dyDescent="0.3">
      <c r="A16" t="s">
        <v>78</v>
      </c>
      <c r="B16" t="s">
        <v>54</v>
      </c>
      <c r="C16" t="s">
        <v>18</v>
      </c>
      <c r="D16" t="s">
        <v>55</v>
      </c>
      <c r="E16" t="s">
        <v>20</v>
      </c>
      <c r="F16" t="s">
        <v>21</v>
      </c>
      <c r="G16" t="s">
        <v>29</v>
      </c>
      <c r="H16" s="1">
        <v>46037</v>
      </c>
      <c r="I16" s="1">
        <v>46043</v>
      </c>
      <c r="J16" s="1">
        <v>46040</v>
      </c>
      <c r="K16">
        <v>14</v>
      </c>
      <c r="L16">
        <v>16</v>
      </c>
      <c r="M16" t="s">
        <v>30</v>
      </c>
    </row>
    <row r="17" spans="1:13" x14ac:dyDescent="0.3">
      <c r="A17" t="s">
        <v>79</v>
      </c>
      <c r="B17" t="s">
        <v>58</v>
      </c>
      <c r="C17" t="s">
        <v>33</v>
      </c>
      <c r="D17" t="s">
        <v>59</v>
      </c>
      <c r="E17" t="s">
        <v>35</v>
      </c>
      <c r="F17" t="s">
        <v>28</v>
      </c>
      <c r="G17" t="s">
        <v>80</v>
      </c>
      <c r="H17" s="1">
        <v>46038</v>
      </c>
      <c r="I17" s="1">
        <v>46044</v>
      </c>
      <c r="J17" s="1">
        <v>46041</v>
      </c>
      <c r="K17">
        <v>6</v>
      </c>
      <c r="L17">
        <v>3</v>
      </c>
      <c r="M17" t="s">
        <v>37</v>
      </c>
    </row>
    <row r="18" spans="1:13" x14ac:dyDescent="0.3">
      <c r="A18" t="s">
        <v>81</v>
      </c>
      <c r="B18" t="s">
        <v>62</v>
      </c>
      <c r="C18" t="s">
        <v>40</v>
      </c>
      <c r="D18" t="s">
        <v>63</v>
      </c>
      <c r="E18" t="s">
        <v>64</v>
      </c>
      <c r="F18" t="s">
        <v>21</v>
      </c>
      <c r="G18" t="s">
        <v>82</v>
      </c>
      <c r="H18" s="1">
        <v>46039</v>
      </c>
      <c r="I18" s="1">
        <v>46045</v>
      </c>
      <c r="J18" s="1">
        <v>46042</v>
      </c>
      <c r="K18">
        <v>5</v>
      </c>
      <c r="L18">
        <v>5</v>
      </c>
      <c r="M18" t="s">
        <v>52</v>
      </c>
    </row>
    <row r="19" spans="1:13" x14ac:dyDescent="0.3">
      <c r="A19" t="s">
        <v>83</v>
      </c>
      <c r="B19" t="s">
        <v>67</v>
      </c>
      <c r="C19" t="s">
        <v>48</v>
      </c>
      <c r="D19" t="s">
        <v>68</v>
      </c>
      <c r="E19" t="s">
        <v>64</v>
      </c>
      <c r="F19" t="s">
        <v>28</v>
      </c>
      <c r="G19" t="s">
        <v>73</v>
      </c>
      <c r="H19" s="1">
        <v>46040</v>
      </c>
      <c r="I19" s="1">
        <v>46046</v>
      </c>
      <c r="J19" s="1">
        <v>46043</v>
      </c>
      <c r="K19">
        <v>9</v>
      </c>
      <c r="L19">
        <v>4</v>
      </c>
      <c r="M19" t="s">
        <v>37</v>
      </c>
    </row>
    <row r="20" spans="1:13" x14ac:dyDescent="0.3">
      <c r="A20" t="s">
        <v>84</v>
      </c>
      <c r="B20" t="s">
        <v>17</v>
      </c>
      <c r="C20" t="s">
        <v>18</v>
      </c>
      <c r="D20" t="s">
        <v>19</v>
      </c>
      <c r="E20" t="s">
        <v>20</v>
      </c>
      <c r="F20" t="s">
        <v>21</v>
      </c>
      <c r="G20" t="s">
        <v>22</v>
      </c>
      <c r="H20" s="1">
        <v>46041</v>
      </c>
      <c r="I20" s="1">
        <v>46047</v>
      </c>
      <c r="J20" s="1">
        <v>46044</v>
      </c>
      <c r="K20">
        <v>12</v>
      </c>
      <c r="L20">
        <v>9</v>
      </c>
      <c r="M20" t="s">
        <v>37</v>
      </c>
    </row>
    <row r="21" spans="1:13" x14ac:dyDescent="0.3">
      <c r="A21" t="s">
        <v>85</v>
      </c>
      <c r="B21" t="s">
        <v>17</v>
      </c>
      <c r="C21" t="s">
        <v>18</v>
      </c>
      <c r="D21" t="s">
        <v>26</v>
      </c>
      <c r="E21" t="s">
        <v>27</v>
      </c>
      <c r="F21" t="s">
        <v>28</v>
      </c>
      <c r="G21" t="s">
        <v>29</v>
      </c>
      <c r="H21" s="1">
        <v>46042</v>
      </c>
      <c r="I21" s="1">
        <v>46048</v>
      </c>
      <c r="J21" s="1">
        <v>46045</v>
      </c>
      <c r="K21">
        <v>8</v>
      </c>
      <c r="L21">
        <v>0</v>
      </c>
      <c r="M21" t="s">
        <v>45</v>
      </c>
    </row>
    <row r="22" spans="1:13" x14ac:dyDescent="0.3">
      <c r="A22" t="s">
        <v>86</v>
      </c>
      <c r="B22" t="s">
        <v>32</v>
      </c>
      <c r="C22" t="s">
        <v>33</v>
      </c>
      <c r="D22" t="s">
        <v>34</v>
      </c>
      <c r="E22" t="s">
        <v>35</v>
      </c>
      <c r="F22" t="s">
        <v>21</v>
      </c>
      <c r="G22" t="s">
        <v>87</v>
      </c>
      <c r="H22" s="1">
        <v>46043</v>
      </c>
      <c r="I22" s="1">
        <v>46049</v>
      </c>
      <c r="J22" s="1">
        <v>46046</v>
      </c>
      <c r="K22">
        <v>10</v>
      </c>
      <c r="L22">
        <v>10</v>
      </c>
      <c r="M22" t="s">
        <v>52</v>
      </c>
    </row>
    <row r="23" spans="1:13" x14ac:dyDescent="0.3">
      <c r="A23" t="s">
        <v>88</v>
      </c>
      <c r="B23" t="s">
        <v>39</v>
      </c>
      <c r="C23" t="s">
        <v>40</v>
      </c>
      <c r="D23" t="s">
        <v>41</v>
      </c>
      <c r="E23" t="s">
        <v>42</v>
      </c>
      <c r="F23" t="s">
        <v>43</v>
      </c>
      <c r="G23" t="s">
        <v>89</v>
      </c>
      <c r="H23" s="1">
        <v>46044</v>
      </c>
      <c r="I23" s="1">
        <v>46050</v>
      </c>
      <c r="J23" s="1">
        <v>46047</v>
      </c>
      <c r="K23">
        <v>6</v>
      </c>
      <c r="L23">
        <v>2</v>
      </c>
      <c r="M23" t="s">
        <v>37</v>
      </c>
    </row>
    <row r="24" spans="1:13" x14ac:dyDescent="0.3">
      <c r="A24" t="s">
        <v>90</v>
      </c>
      <c r="B24" t="s">
        <v>47</v>
      </c>
      <c r="C24" t="s">
        <v>48</v>
      </c>
      <c r="D24" t="s">
        <v>49</v>
      </c>
      <c r="E24" t="s">
        <v>50</v>
      </c>
      <c r="F24" t="s">
        <v>21</v>
      </c>
      <c r="G24" t="s">
        <v>51</v>
      </c>
      <c r="H24" s="1">
        <v>46045</v>
      </c>
      <c r="I24" s="1">
        <v>46051</v>
      </c>
      <c r="J24" s="1">
        <v>46048</v>
      </c>
      <c r="K24">
        <v>7</v>
      </c>
      <c r="L24">
        <v>9</v>
      </c>
      <c r="M24" t="s">
        <v>30</v>
      </c>
    </row>
    <row r="25" spans="1:13" x14ac:dyDescent="0.3">
      <c r="A25" t="s">
        <v>91</v>
      </c>
      <c r="B25" t="s">
        <v>54</v>
      </c>
      <c r="C25" t="s">
        <v>18</v>
      </c>
      <c r="D25" t="s">
        <v>55</v>
      </c>
      <c r="E25" t="s">
        <v>20</v>
      </c>
      <c r="F25" t="s">
        <v>21</v>
      </c>
      <c r="G25" t="s">
        <v>29</v>
      </c>
      <c r="H25" s="1">
        <v>46046</v>
      </c>
      <c r="I25" s="1">
        <v>46052</v>
      </c>
      <c r="J25" s="1">
        <v>46049</v>
      </c>
      <c r="K25">
        <v>13</v>
      </c>
      <c r="L25">
        <v>7</v>
      </c>
      <c r="M25" t="s">
        <v>37</v>
      </c>
    </row>
    <row r="26" spans="1:13" x14ac:dyDescent="0.3">
      <c r="A26" t="s">
        <v>92</v>
      </c>
      <c r="B26" t="s">
        <v>58</v>
      </c>
      <c r="C26" t="s">
        <v>33</v>
      </c>
      <c r="D26" t="s">
        <v>59</v>
      </c>
      <c r="E26" t="s">
        <v>35</v>
      </c>
      <c r="F26" t="s">
        <v>28</v>
      </c>
      <c r="G26" t="s">
        <v>77</v>
      </c>
      <c r="H26" s="1">
        <v>46047</v>
      </c>
      <c r="I26" s="1">
        <v>46053</v>
      </c>
      <c r="J26" s="1">
        <v>46050</v>
      </c>
      <c r="K26">
        <v>6</v>
      </c>
      <c r="L26">
        <v>0</v>
      </c>
      <c r="M26" t="s">
        <v>45</v>
      </c>
    </row>
    <row r="27" spans="1:13" x14ac:dyDescent="0.3">
      <c r="A27" t="s">
        <v>93</v>
      </c>
      <c r="B27" t="s">
        <v>62</v>
      </c>
      <c r="C27" t="s">
        <v>40</v>
      </c>
      <c r="D27" t="s">
        <v>63</v>
      </c>
      <c r="E27" t="s">
        <v>64</v>
      </c>
      <c r="F27" t="s">
        <v>21</v>
      </c>
      <c r="G27" t="s">
        <v>94</v>
      </c>
      <c r="H27" s="1">
        <v>46048</v>
      </c>
      <c r="I27" s="1">
        <v>46054</v>
      </c>
      <c r="J27" s="1">
        <v>46051</v>
      </c>
      <c r="K27">
        <v>5</v>
      </c>
      <c r="L27">
        <v>5</v>
      </c>
      <c r="M27" t="s">
        <v>52</v>
      </c>
    </row>
    <row r="28" spans="1:13" x14ac:dyDescent="0.3">
      <c r="A28" t="s">
        <v>95</v>
      </c>
      <c r="B28" t="s">
        <v>67</v>
      </c>
      <c r="C28" t="s">
        <v>48</v>
      </c>
      <c r="D28" t="s">
        <v>68</v>
      </c>
      <c r="E28" t="s">
        <v>64</v>
      </c>
      <c r="F28" t="s">
        <v>28</v>
      </c>
      <c r="G28" t="s">
        <v>73</v>
      </c>
      <c r="H28" s="1">
        <v>46049</v>
      </c>
      <c r="I28" s="1">
        <v>46055</v>
      </c>
      <c r="J28" s="1">
        <v>46052</v>
      </c>
      <c r="K28">
        <v>5</v>
      </c>
      <c r="L28">
        <v>3</v>
      </c>
      <c r="M28" t="s">
        <v>37</v>
      </c>
    </row>
    <row r="29" spans="1:13" x14ac:dyDescent="0.3">
      <c r="A29" t="s">
        <v>96</v>
      </c>
      <c r="B29" t="s">
        <v>17</v>
      </c>
      <c r="C29" t="s">
        <v>18</v>
      </c>
      <c r="D29" t="s">
        <v>19</v>
      </c>
      <c r="E29" t="s">
        <v>20</v>
      </c>
      <c r="F29" t="s">
        <v>43</v>
      </c>
      <c r="G29" t="s">
        <v>70</v>
      </c>
      <c r="H29" s="1">
        <v>46050</v>
      </c>
      <c r="I29" s="1">
        <v>46056</v>
      </c>
      <c r="J29" s="1">
        <v>46053</v>
      </c>
      <c r="K29">
        <v>6</v>
      </c>
      <c r="L29">
        <v>2</v>
      </c>
      <c r="M29" t="s">
        <v>45</v>
      </c>
    </row>
    <row r="30" spans="1:13" x14ac:dyDescent="0.3">
      <c r="A30" t="s">
        <v>97</v>
      </c>
      <c r="B30" t="s">
        <v>17</v>
      </c>
      <c r="C30" t="s">
        <v>18</v>
      </c>
      <c r="D30" t="s">
        <v>26</v>
      </c>
      <c r="E30" t="s">
        <v>27</v>
      </c>
      <c r="F30" t="s">
        <v>21</v>
      </c>
      <c r="G30" t="s">
        <v>29</v>
      </c>
      <c r="H30" s="1">
        <v>46051</v>
      </c>
      <c r="I30" s="1">
        <v>46057</v>
      </c>
      <c r="J30" s="1">
        <v>46054</v>
      </c>
      <c r="K30">
        <v>12</v>
      </c>
      <c r="L30">
        <v>12</v>
      </c>
      <c r="M30" t="s">
        <v>37</v>
      </c>
    </row>
    <row r="31" spans="1:13" x14ac:dyDescent="0.3">
      <c r="A31" t="s">
        <v>98</v>
      </c>
      <c r="B31" t="s">
        <v>32</v>
      </c>
      <c r="C31" t="s">
        <v>33</v>
      </c>
      <c r="D31" t="s">
        <v>34</v>
      </c>
      <c r="E31" t="s">
        <v>35</v>
      </c>
      <c r="F31" t="s">
        <v>28</v>
      </c>
      <c r="G31" t="s">
        <v>36</v>
      </c>
      <c r="H31" s="1">
        <v>46052</v>
      </c>
      <c r="I31" s="1">
        <v>46058</v>
      </c>
      <c r="J31" s="1">
        <v>46055</v>
      </c>
      <c r="K31">
        <v>14</v>
      </c>
      <c r="L31">
        <v>32</v>
      </c>
      <c r="M31" t="s">
        <v>52</v>
      </c>
    </row>
    <row r="32" spans="1:13" x14ac:dyDescent="0.3">
      <c r="A32" t="s">
        <v>99</v>
      </c>
      <c r="B32" t="s">
        <v>17</v>
      </c>
      <c r="C32" t="s">
        <v>18</v>
      </c>
      <c r="D32" t="s">
        <v>19</v>
      </c>
      <c r="E32" t="s">
        <v>20</v>
      </c>
      <c r="F32" t="s">
        <v>21</v>
      </c>
      <c r="G32" t="s">
        <v>22</v>
      </c>
      <c r="H32" s="1">
        <v>46053</v>
      </c>
      <c r="I32" s="1">
        <v>46027</v>
      </c>
      <c r="J32" s="1">
        <v>46056</v>
      </c>
      <c r="K32" s="3">
        <v>5</v>
      </c>
      <c r="L32" s="3">
        <v>5</v>
      </c>
      <c r="M32" t="s">
        <v>24</v>
      </c>
    </row>
    <row r="33" spans="1:13" x14ac:dyDescent="0.3">
      <c r="A33" t="s">
        <v>100</v>
      </c>
      <c r="B33" t="s">
        <v>17</v>
      </c>
      <c r="C33" t="s">
        <v>18</v>
      </c>
      <c r="D33" t="s">
        <v>26</v>
      </c>
      <c r="E33" t="s">
        <v>27</v>
      </c>
      <c r="F33" t="s">
        <v>28</v>
      </c>
      <c r="G33" t="s">
        <v>29</v>
      </c>
      <c r="H33" s="1">
        <v>46054</v>
      </c>
      <c r="I33" s="1">
        <v>46028</v>
      </c>
      <c r="J33" s="1">
        <v>46057</v>
      </c>
      <c r="K33" s="3">
        <v>3</v>
      </c>
      <c r="L33" s="3">
        <v>4.4646644419725598</v>
      </c>
      <c r="M33" t="s">
        <v>30</v>
      </c>
    </row>
    <row r="34" spans="1:13" x14ac:dyDescent="0.3">
      <c r="A34" t="s">
        <v>101</v>
      </c>
      <c r="B34" t="s">
        <v>32</v>
      </c>
      <c r="C34" t="s">
        <v>33</v>
      </c>
      <c r="D34" t="s">
        <v>34</v>
      </c>
      <c r="E34" t="s">
        <v>35</v>
      </c>
      <c r="F34" t="s">
        <v>21</v>
      </c>
      <c r="G34" t="s">
        <v>36</v>
      </c>
      <c r="H34" s="1">
        <v>46055</v>
      </c>
      <c r="I34" s="1">
        <v>46030</v>
      </c>
      <c r="J34" s="1">
        <v>46058</v>
      </c>
      <c r="K34" s="3">
        <v>15</v>
      </c>
      <c r="L34" s="3">
        <v>22</v>
      </c>
      <c r="M34" t="s">
        <v>37</v>
      </c>
    </row>
    <row r="35" spans="1:13" x14ac:dyDescent="0.3">
      <c r="A35" t="s">
        <v>102</v>
      </c>
      <c r="B35" t="s">
        <v>39</v>
      </c>
      <c r="C35" t="s">
        <v>40</v>
      </c>
      <c r="D35" t="s">
        <v>41</v>
      </c>
      <c r="E35" t="s">
        <v>42</v>
      </c>
      <c r="F35" t="s">
        <v>43</v>
      </c>
      <c r="G35" t="s">
        <v>44</v>
      </c>
      <c r="H35" s="1">
        <v>46056</v>
      </c>
      <c r="I35" s="1">
        <v>46032</v>
      </c>
      <c r="J35" s="1">
        <v>46059</v>
      </c>
      <c r="K35" s="3">
        <v>5</v>
      </c>
      <c r="L35" s="3">
        <v>3</v>
      </c>
      <c r="M35" t="s">
        <v>45</v>
      </c>
    </row>
    <row r="36" spans="1:13" x14ac:dyDescent="0.3">
      <c r="A36" t="s">
        <v>103</v>
      </c>
      <c r="B36" t="s">
        <v>47</v>
      </c>
      <c r="C36" t="s">
        <v>48</v>
      </c>
      <c r="D36" t="s">
        <v>49</v>
      </c>
      <c r="E36" t="s">
        <v>50</v>
      </c>
      <c r="F36" t="s">
        <v>21</v>
      </c>
      <c r="G36" t="s">
        <v>51</v>
      </c>
      <c r="H36" s="1">
        <v>46057</v>
      </c>
      <c r="I36" s="1">
        <v>46031</v>
      </c>
      <c r="J36" s="1">
        <v>46060</v>
      </c>
      <c r="K36" s="3">
        <v>12</v>
      </c>
      <c r="L36" s="3">
        <v>15</v>
      </c>
      <c r="M36" t="s">
        <v>52</v>
      </c>
    </row>
    <row r="37" spans="1:13" x14ac:dyDescent="0.3">
      <c r="A37" t="s">
        <v>104</v>
      </c>
      <c r="B37" t="s">
        <v>54</v>
      </c>
      <c r="C37" t="s">
        <v>18</v>
      </c>
      <c r="D37" t="s">
        <v>55</v>
      </c>
      <c r="E37" t="s">
        <v>20</v>
      </c>
      <c r="F37" t="s">
        <v>21</v>
      </c>
      <c r="G37" t="s">
        <v>56</v>
      </c>
      <c r="H37" s="1">
        <v>46058</v>
      </c>
      <c r="I37" s="1">
        <v>46034</v>
      </c>
      <c r="J37" s="1">
        <v>46061</v>
      </c>
      <c r="K37" s="3">
        <v>6</v>
      </c>
      <c r="L37" s="3">
        <v>6</v>
      </c>
      <c r="M37" t="s">
        <v>37</v>
      </c>
    </row>
    <row r="38" spans="1:13" x14ac:dyDescent="0.3">
      <c r="A38" t="s">
        <v>105</v>
      </c>
      <c r="B38" t="s">
        <v>58</v>
      </c>
      <c r="C38" t="s">
        <v>33</v>
      </c>
      <c r="D38" t="s">
        <v>59</v>
      </c>
      <c r="E38" t="s">
        <v>35</v>
      </c>
      <c r="F38" t="s">
        <v>28</v>
      </c>
      <c r="G38" t="s">
        <v>60</v>
      </c>
      <c r="H38" s="1">
        <v>46059</v>
      </c>
      <c r="I38" s="1">
        <v>46036</v>
      </c>
      <c r="J38" s="1">
        <v>46062</v>
      </c>
      <c r="K38" s="3">
        <v>5</v>
      </c>
      <c r="L38" s="3">
        <v>9</v>
      </c>
      <c r="M38" t="s">
        <v>45</v>
      </c>
    </row>
    <row r="39" spans="1:13" x14ac:dyDescent="0.3">
      <c r="A39" t="s">
        <v>106</v>
      </c>
      <c r="B39" t="s">
        <v>62</v>
      </c>
      <c r="C39" t="s">
        <v>40</v>
      </c>
      <c r="D39" t="s">
        <v>63</v>
      </c>
      <c r="E39" t="s">
        <v>64</v>
      </c>
      <c r="F39" t="s">
        <v>21</v>
      </c>
      <c r="G39" t="s">
        <v>65</v>
      </c>
      <c r="H39" s="1">
        <v>46060</v>
      </c>
      <c r="I39" s="1">
        <v>46035</v>
      </c>
      <c r="J39" s="1">
        <v>46063</v>
      </c>
      <c r="K39" s="3">
        <v>8</v>
      </c>
      <c r="L39" s="3">
        <v>8</v>
      </c>
      <c r="M39" t="s">
        <v>52</v>
      </c>
    </row>
    <row r="40" spans="1:13" x14ac:dyDescent="0.3">
      <c r="A40" t="s">
        <v>107</v>
      </c>
      <c r="B40" t="s">
        <v>67</v>
      </c>
      <c r="C40" t="s">
        <v>48</v>
      </c>
      <c r="D40" t="s">
        <v>68</v>
      </c>
      <c r="E40" t="s">
        <v>64</v>
      </c>
      <c r="F40" t="s">
        <v>21</v>
      </c>
      <c r="G40" t="s">
        <v>36</v>
      </c>
      <c r="H40" s="1">
        <v>46061</v>
      </c>
      <c r="I40" s="1">
        <v>46037</v>
      </c>
      <c r="J40" s="1">
        <v>46064</v>
      </c>
      <c r="K40" s="3">
        <v>7.2766036336670297</v>
      </c>
      <c r="L40" s="3">
        <v>4.2092695587689999</v>
      </c>
      <c r="M40" t="s">
        <v>37</v>
      </c>
    </row>
    <row r="41" spans="1:13" x14ac:dyDescent="0.3">
      <c r="A41" t="s">
        <v>108</v>
      </c>
      <c r="B41" t="s">
        <v>17</v>
      </c>
      <c r="C41" t="s">
        <v>18</v>
      </c>
      <c r="D41" t="s">
        <v>19</v>
      </c>
      <c r="E41" t="s">
        <v>20</v>
      </c>
      <c r="F41" t="s">
        <v>28</v>
      </c>
      <c r="G41" t="s">
        <v>70</v>
      </c>
      <c r="H41" s="1">
        <v>46062</v>
      </c>
      <c r="I41" s="1">
        <v>46038</v>
      </c>
      <c r="J41" s="1">
        <v>46065</v>
      </c>
      <c r="K41" s="3">
        <v>2</v>
      </c>
      <c r="L41" s="3">
        <v>4.1727845754541999</v>
      </c>
      <c r="M41" t="s">
        <v>37</v>
      </c>
    </row>
    <row r="42" spans="1:13" x14ac:dyDescent="0.3">
      <c r="A42" t="s">
        <v>109</v>
      </c>
      <c r="B42" t="s">
        <v>17</v>
      </c>
      <c r="C42" t="s">
        <v>18</v>
      </c>
      <c r="D42" t="s">
        <v>26</v>
      </c>
      <c r="E42" t="s">
        <v>27</v>
      </c>
      <c r="F42" t="s">
        <v>43</v>
      </c>
      <c r="G42" t="s">
        <v>29</v>
      </c>
      <c r="H42" s="1">
        <v>46063</v>
      </c>
      <c r="I42" s="1">
        <v>46039</v>
      </c>
      <c r="J42" s="1">
        <v>46066</v>
      </c>
      <c r="K42" s="3">
        <v>3</v>
      </c>
      <c r="L42" s="3">
        <v>5</v>
      </c>
      <c r="M42" t="s">
        <v>45</v>
      </c>
    </row>
    <row r="43" spans="1:13" x14ac:dyDescent="0.3">
      <c r="A43" t="s">
        <v>110</v>
      </c>
      <c r="B43" t="s">
        <v>32</v>
      </c>
      <c r="C43" t="s">
        <v>33</v>
      </c>
      <c r="D43" t="s">
        <v>34</v>
      </c>
      <c r="E43" t="s">
        <v>35</v>
      </c>
      <c r="F43" t="s">
        <v>21</v>
      </c>
      <c r="G43" t="s">
        <v>73</v>
      </c>
      <c r="H43" s="1">
        <v>46064</v>
      </c>
      <c r="I43" s="1">
        <v>46040</v>
      </c>
      <c r="J43" s="1">
        <v>46067</v>
      </c>
      <c r="K43" s="3">
        <v>5</v>
      </c>
      <c r="L43" s="3">
        <v>2</v>
      </c>
      <c r="M43" t="s">
        <v>52</v>
      </c>
    </row>
    <row r="44" spans="1:13" x14ac:dyDescent="0.3">
      <c r="A44" t="s">
        <v>111</v>
      </c>
      <c r="B44" t="s">
        <v>39</v>
      </c>
      <c r="C44" t="s">
        <v>40</v>
      </c>
      <c r="D44" t="s">
        <v>41</v>
      </c>
      <c r="E44" t="s">
        <v>42</v>
      </c>
      <c r="F44" t="s">
        <v>28</v>
      </c>
      <c r="G44" t="s">
        <v>75</v>
      </c>
      <c r="H44" s="1">
        <v>46065</v>
      </c>
      <c r="I44" s="1">
        <v>46041</v>
      </c>
      <c r="J44" s="1">
        <v>46068</v>
      </c>
      <c r="K44" s="3">
        <v>7.1137560252131999</v>
      </c>
      <c r="L44" s="3">
        <v>0</v>
      </c>
      <c r="M44" t="s">
        <v>37</v>
      </c>
    </row>
    <row r="45" spans="1:13" x14ac:dyDescent="0.3">
      <c r="A45" t="s">
        <v>112</v>
      </c>
      <c r="B45" t="s">
        <v>47</v>
      </c>
      <c r="C45" t="s">
        <v>48</v>
      </c>
      <c r="D45" t="s">
        <v>49</v>
      </c>
      <c r="E45" t="s">
        <v>50</v>
      </c>
      <c r="F45" t="s">
        <v>43</v>
      </c>
      <c r="G45" t="s">
        <v>77</v>
      </c>
      <c r="H45" s="1">
        <v>46066</v>
      </c>
      <c r="I45" s="1">
        <v>46042</v>
      </c>
      <c r="J45" s="1">
        <v>46069</v>
      </c>
      <c r="K45" s="3">
        <v>8</v>
      </c>
      <c r="L45" s="3">
        <v>4.0268446421950301</v>
      </c>
      <c r="M45" t="s">
        <v>45</v>
      </c>
    </row>
    <row r="46" spans="1:13" x14ac:dyDescent="0.3">
      <c r="A46" t="s">
        <v>113</v>
      </c>
      <c r="B46" t="s">
        <v>54</v>
      </c>
      <c r="C46" t="s">
        <v>18</v>
      </c>
      <c r="D46" t="s">
        <v>55</v>
      </c>
      <c r="E46" t="s">
        <v>20</v>
      </c>
      <c r="F46" t="s">
        <v>21</v>
      </c>
      <c r="G46" t="s">
        <v>29</v>
      </c>
      <c r="H46" s="1">
        <v>46067</v>
      </c>
      <c r="I46" s="1">
        <v>46043</v>
      </c>
      <c r="J46" s="1">
        <v>46070</v>
      </c>
      <c r="K46" s="3">
        <v>9</v>
      </c>
      <c r="L46" s="3">
        <v>12</v>
      </c>
      <c r="M46" t="s">
        <v>30</v>
      </c>
    </row>
    <row r="47" spans="1:13" x14ac:dyDescent="0.3">
      <c r="A47" t="s">
        <v>114</v>
      </c>
      <c r="B47" t="s">
        <v>58</v>
      </c>
      <c r="C47" t="s">
        <v>33</v>
      </c>
      <c r="D47" t="s">
        <v>59</v>
      </c>
      <c r="E47" t="s">
        <v>35</v>
      </c>
      <c r="F47" t="s">
        <v>28</v>
      </c>
      <c r="G47" t="s">
        <v>80</v>
      </c>
      <c r="H47" s="1">
        <v>46068</v>
      </c>
      <c r="I47" s="1">
        <v>46044</v>
      </c>
      <c r="J47" s="1">
        <v>46071</v>
      </c>
      <c r="K47" s="3">
        <v>6.9916203188728199</v>
      </c>
      <c r="L47" s="3">
        <v>14</v>
      </c>
      <c r="M47" t="s">
        <v>37</v>
      </c>
    </row>
    <row r="48" spans="1:13" x14ac:dyDescent="0.3">
      <c r="A48" t="s">
        <v>115</v>
      </c>
      <c r="B48" t="s">
        <v>62</v>
      </c>
      <c r="C48" t="s">
        <v>40</v>
      </c>
      <c r="D48" t="s">
        <v>63</v>
      </c>
      <c r="E48" t="s">
        <v>64</v>
      </c>
      <c r="F48" t="s">
        <v>21</v>
      </c>
      <c r="G48" t="s">
        <v>82</v>
      </c>
      <c r="H48" s="1">
        <v>46069</v>
      </c>
      <c r="I48" s="1">
        <v>46045</v>
      </c>
      <c r="J48" s="1">
        <v>46072</v>
      </c>
      <c r="K48" s="3">
        <v>3</v>
      </c>
      <c r="L48" s="3">
        <v>2</v>
      </c>
      <c r="M48" t="s">
        <v>52</v>
      </c>
    </row>
    <row r="49" spans="1:13" x14ac:dyDescent="0.3">
      <c r="A49" t="s">
        <v>116</v>
      </c>
      <c r="B49" t="s">
        <v>67</v>
      </c>
      <c r="C49" t="s">
        <v>48</v>
      </c>
      <c r="D49" t="s">
        <v>68</v>
      </c>
      <c r="E49" t="s">
        <v>64</v>
      </c>
      <c r="F49" t="s">
        <v>28</v>
      </c>
      <c r="G49" t="s">
        <v>73</v>
      </c>
      <c r="H49" s="1">
        <v>46070</v>
      </c>
      <c r="I49" s="1">
        <v>46046</v>
      </c>
      <c r="J49" s="1">
        <v>46073</v>
      </c>
      <c r="K49" s="3">
        <v>10</v>
      </c>
      <c r="L49" s="3">
        <v>5</v>
      </c>
      <c r="M49" t="s">
        <v>37</v>
      </c>
    </row>
    <row r="50" spans="1:13" x14ac:dyDescent="0.3">
      <c r="A50" t="s">
        <v>117</v>
      </c>
      <c r="B50" t="s">
        <v>17</v>
      </c>
      <c r="C50" t="s">
        <v>18</v>
      </c>
      <c r="D50" t="s">
        <v>19</v>
      </c>
      <c r="E50" t="s">
        <v>20</v>
      </c>
      <c r="F50" t="s">
        <v>21</v>
      </c>
      <c r="G50" t="s">
        <v>22</v>
      </c>
      <c r="H50" s="1">
        <v>46071</v>
      </c>
      <c r="I50" s="1">
        <v>46047</v>
      </c>
      <c r="J50" s="1">
        <v>46074</v>
      </c>
      <c r="K50" s="3">
        <v>15</v>
      </c>
      <c r="L50" s="3">
        <v>8</v>
      </c>
      <c r="M50" t="s">
        <v>37</v>
      </c>
    </row>
    <row r="51" spans="1:13" x14ac:dyDescent="0.3">
      <c r="A51" t="s">
        <v>118</v>
      </c>
      <c r="B51" t="s">
        <v>17</v>
      </c>
      <c r="C51" t="s">
        <v>18</v>
      </c>
      <c r="D51" t="s">
        <v>26</v>
      </c>
      <c r="E51" t="s">
        <v>27</v>
      </c>
      <c r="F51" t="s">
        <v>28</v>
      </c>
      <c r="G51" t="s">
        <v>29</v>
      </c>
      <c r="H51" s="1">
        <v>46072</v>
      </c>
      <c r="I51" s="1">
        <v>46048</v>
      </c>
      <c r="J51" s="1">
        <v>46075</v>
      </c>
      <c r="K51" s="3">
        <v>12</v>
      </c>
      <c r="L51" s="3">
        <v>9</v>
      </c>
      <c r="M51" t="s">
        <v>45</v>
      </c>
    </row>
    <row r="52" spans="1:13" x14ac:dyDescent="0.3">
      <c r="A52" t="s">
        <v>119</v>
      </c>
      <c r="B52" t="s">
        <v>32</v>
      </c>
      <c r="C52" t="s">
        <v>33</v>
      </c>
      <c r="D52" t="s">
        <v>34</v>
      </c>
      <c r="E52" t="s">
        <v>35</v>
      </c>
      <c r="F52" t="s">
        <v>21</v>
      </c>
      <c r="G52" t="s">
        <v>87</v>
      </c>
      <c r="H52" s="1">
        <v>46073</v>
      </c>
      <c r="I52" s="1">
        <v>46049</v>
      </c>
      <c r="J52" s="1">
        <v>46076</v>
      </c>
      <c r="K52" s="3">
        <v>6.7880608083055201</v>
      </c>
      <c r="L52" s="3">
        <v>3.7714497589914702</v>
      </c>
      <c r="M52" t="s">
        <v>52</v>
      </c>
    </row>
    <row r="53" spans="1:13" x14ac:dyDescent="0.3">
      <c r="A53" t="s">
        <v>120</v>
      </c>
      <c r="B53" t="s">
        <v>39</v>
      </c>
      <c r="C53" t="s">
        <v>40</v>
      </c>
      <c r="D53" t="s">
        <v>41</v>
      </c>
      <c r="E53" t="s">
        <v>42</v>
      </c>
      <c r="F53" t="s">
        <v>43</v>
      </c>
      <c r="G53" t="s">
        <v>89</v>
      </c>
      <c r="H53" s="1">
        <v>46074</v>
      </c>
      <c r="I53" s="1">
        <v>46050</v>
      </c>
      <c r="J53" s="1">
        <v>46077</v>
      </c>
      <c r="K53" s="3">
        <v>6</v>
      </c>
      <c r="L53" s="3">
        <v>5</v>
      </c>
      <c r="M53" t="s">
        <v>37</v>
      </c>
    </row>
    <row r="54" spans="1:13" x14ac:dyDescent="0.3">
      <c r="A54" t="s">
        <v>121</v>
      </c>
      <c r="B54" t="s">
        <v>47</v>
      </c>
      <c r="C54" t="s">
        <v>48</v>
      </c>
      <c r="D54" t="s">
        <v>49</v>
      </c>
      <c r="E54" t="s">
        <v>50</v>
      </c>
      <c r="F54" t="s">
        <v>21</v>
      </c>
      <c r="G54" t="s">
        <v>51</v>
      </c>
      <c r="H54" s="1">
        <v>46075</v>
      </c>
      <c r="I54" s="1">
        <v>46051</v>
      </c>
      <c r="J54" s="1">
        <v>46078</v>
      </c>
      <c r="K54" s="3">
        <v>8</v>
      </c>
      <c r="L54" s="3">
        <v>7</v>
      </c>
      <c r="M54" t="s">
        <v>30</v>
      </c>
    </row>
    <row r="55" spans="1:13" x14ac:dyDescent="0.3">
      <c r="A55" t="s">
        <v>122</v>
      </c>
      <c r="B55" t="s">
        <v>54</v>
      </c>
      <c r="C55" t="s">
        <v>18</v>
      </c>
      <c r="D55" t="s">
        <v>55</v>
      </c>
      <c r="E55" t="s">
        <v>20</v>
      </c>
      <c r="F55" t="s">
        <v>21</v>
      </c>
      <c r="G55" t="s">
        <v>29</v>
      </c>
      <c r="H55" s="1">
        <v>46076</v>
      </c>
      <c r="I55" s="1">
        <v>46052</v>
      </c>
      <c r="J55" s="1">
        <v>46079</v>
      </c>
      <c r="K55" s="3">
        <v>9</v>
      </c>
      <c r="L55" s="3">
        <v>0</v>
      </c>
      <c r="M55" t="s">
        <v>37</v>
      </c>
    </row>
    <row r="56" spans="1:13" x14ac:dyDescent="0.3">
      <c r="A56" t="s">
        <v>123</v>
      </c>
      <c r="B56" t="s">
        <v>58</v>
      </c>
      <c r="C56" t="s">
        <v>33</v>
      </c>
      <c r="D56" t="s">
        <v>59</v>
      </c>
      <c r="E56" t="s">
        <v>35</v>
      </c>
      <c r="F56" t="s">
        <v>28</v>
      </c>
      <c r="G56" t="s">
        <v>77</v>
      </c>
      <c r="H56" s="1">
        <v>46077</v>
      </c>
      <c r="I56" s="1">
        <v>46053</v>
      </c>
      <c r="J56" s="1">
        <v>46080</v>
      </c>
      <c r="K56" s="3">
        <v>20</v>
      </c>
      <c r="L56" s="3">
        <v>12</v>
      </c>
      <c r="M56" t="s">
        <v>45</v>
      </c>
    </row>
    <row r="57" spans="1:13" x14ac:dyDescent="0.3">
      <c r="A57" t="s">
        <v>124</v>
      </c>
      <c r="B57" t="s">
        <v>62</v>
      </c>
      <c r="C57" t="s">
        <v>40</v>
      </c>
      <c r="D57" t="s">
        <v>63</v>
      </c>
      <c r="E57" t="s">
        <v>64</v>
      </c>
      <c r="F57" t="s">
        <v>21</v>
      </c>
      <c r="G57" t="s">
        <v>94</v>
      </c>
      <c r="H57" s="1">
        <v>46078</v>
      </c>
      <c r="I57" s="1">
        <v>46054</v>
      </c>
      <c r="J57" s="1">
        <v>46081</v>
      </c>
      <c r="K57" s="3">
        <v>12</v>
      </c>
      <c r="L57" s="3">
        <v>12</v>
      </c>
      <c r="M57" t="s">
        <v>52</v>
      </c>
    </row>
    <row r="58" spans="1:13" x14ac:dyDescent="0.3">
      <c r="A58" t="s">
        <v>125</v>
      </c>
      <c r="B58" t="s">
        <v>67</v>
      </c>
      <c r="C58" t="s">
        <v>48</v>
      </c>
      <c r="D58" t="s">
        <v>68</v>
      </c>
      <c r="E58" t="s">
        <v>64</v>
      </c>
      <c r="F58" t="s">
        <v>28</v>
      </c>
      <c r="G58" t="s">
        <v>73</v>
      </c>
      <c r="H58" s="1">
        <v>46079</v>
      </c>
      <c r="I58" s="1">
        <v>46055</v>
      </c>
      <c r="J58" s="1">
        <v>46082</v>
      </c>
      <c r="K58" s="3">
        <v>13</v>
      </c>
      <c r="L58" s="3">
        <v>3</v>
      </c>
      <c r="M58" t="s">
        <v>37</v>
      </c>
    </row>
    <row r="59" spans="1:13" x14ac:dyDescent="0.3">
      <c r="A59" t="s">
        <v>126</v>
      </c>
      <c r="B59" t="s">
        <v>17</v>
      </c>
      <c r="C59" t="s">
        <v>18</v>
      </c>
      <c r="D59" t="s">
        <v>19</v>
      </c>
      <c r="E59" t="s">
        <v>20</v>
      </c>
      <c r="F59" t="s">
        <v>43</v>
      </c>
      <c r="G59" t="s">
        <v>70</v>
      </c>
      <c r="H59" s="1">
        <v>46080</v>
      </c>
      <c r="I59" s="1">
        <v>46056</v>
      </c>
      <c r="J59" s="1">
        <v>46083</v>
      </c>
      <c r="K59" s="3">
        <v>14</v>
      </c>
      <c r="L59" s="3">
        <v>4</v>
      </c>
      <c r="M59" t="s">
        <v>45</v>
      </c>
    </row>
    <row r="60" spans="1:13" x14ac:dyDescent="0.3">
      <c r="A60" t="s">
        <v>127</v>
      </c>
      <c r="B60" t="s">
        <v>17</v>
      </c>
      <c r="C60" t="s">
        <v>18</v>
      </c>
      <c r="D60" t="s">
        <v>26</v>
      </c>
      <c r="E60" t="s">
        <v>27</v>
      </c>
      <c r="F60" t="s">
        <v>21</v>
      </c>
      <c r="G60" t="s">
        <v>29</v>
      </c>
      <c r="H60" s="1">
        <v>46081</v>
      </c>
      <c r="I60" s="1">
        <v>46057</v>
      </c>
      <c r="J60" s="1">
        <v>46084</v>
      </c>
      <c r="K60" s="3">
        <v>15</v>
      </c>
      <c r="L60" s="3">
        <v>3.4795698924731102</v>
      </c>
      <c r="M60" t="s">
        <v>37</v>
      </c>
    </row>
    <row r="61" spans="1:13" x14ac:dyDescent="0.3">
      <c r="A61" t="s">
        <v>128</v>
      </c>
      <c r="B61" t="s">
        <v>32</v>
      </c>
      <c r="C61" t="s">
        <v>33</v>
      </c>
      <c r="D61" t="s">
        <v>34</v>
      </c>
      <c r="E61" t="s">
        <v>35</v>
      </c>
      <c r="F61" t="s">
        <v>28</v>
      </c>
      <c r="G61" t="s">
        <v>36</v>
      </c>
      <c r="H61" s="1">
        <v>46082</v>
      </c>
      <c r="I61" s="1">
        <v>46058</v>
      </c>
      <c r="J61" s="1">
        <v>46085</v>
      </c>
      <c r="K61" s="3">
        <v>6.4216536892843896</v>
      </c>
      <c r="L61" s="3">
        <v>6</v>
      </c>
      <c r="M61" t="s">
        <v>52</v>
      </c>
    </row>
    <row r="62" spans="1:13" x14ac:dyDescent="0.3">
      <c r="A62" t="s">
        <v>129</v>
      </c>
      <c r="B62" t="s">
        <v>17</v>
      </c>
      <c r="C62" t="s">
        <v>18</v>
      </c>
      <c r="D62" t="s">
        <v>19</v>
      </c>
      <c r="E62" t="s">
        <v>20</v>
      </c>
      <c r="F62" t="s">
        <v>21</v>
      </c>
      <c r="G62" t="s">
        <v>22</v>
      </c>
      <c r="H62" s="1">
        <v>46083</v>
      </c>
      <c r="I62" s="1">
        <v>46027</v>
      </c>
      <c r="J62" s="1">
        <v>46086</v>
      </c>
      <c r="K62" s="3">
        <v>7</v>
      </c>
      <c r="L62" s="3">
        <v>10</v>
      </c>
      <c r="M62" t="s">
        <v>24</v>
      </c>
    </row>
    <row r="63" spans="1:13" x14ac:dyDescent="0.3">
      <c r="A63" t="s">
        <v>130</v>
      </c>
      <c r="B63" t="s">
        <v>17</v>
      </c>
      <c r="C63" t="s">
        <v>18</v>
      </c>
      <c r="D63" t="s">
        <v>26</v>
      </c>
      <c r="E63" t="s">
        <v>27</v>
      </c>
      <c r="F63" t="s">
        <v>28</v>
      </c>
      <c r="G63" t="s">
        <v>29</v>
      </c>
      <c r="H63" s="1">
        <v>46084</v>
      </c>
      <c r="I63" s="1">
        <v>46028</v>
      </c>
      <c r="J63" s="1">
        <v>46087</v>
      </c>
      <c r="K63" s="3">
        <v>8</v>
      </c>
      <c r="L63" s="3">
        <v>11</v>
      </c>
      <c r="M63" t="s">
        <v>30</v>
      </c>
    </row>
    <row r="64" spans="1:13" x14ac:dyDescent="0.3">
      <c r="A64" t="s">
        <v>131</v>
      </c>
      <c r="B64" t="s">
        <v>32</v>
      </c>
      <c r="C64" t="s">
        <v>33</v>
      </c>
      <c r="D64" t="s">
        <v>34</v>
      </c>
      <c r="E64" t="s">
        <v>35</v>
      </c>
      <c r="F64" t="s">
        <v>21</v>
      </c>
      <c r="G64" t="s">
        <v>36</v>
      </c>
      <c r="H64" s="1">
        <v>46085</v>
      </c>
      <c r="I64" s="1">
        <v>46030</v>
      </c>
      <c r="J64" s="1">
        <v>46088</v>
      </c>
      <c r="K64" s="3">
        <v>9</v>
      </c>
      <c r="L64" s="3">
        <v>14</v>
      </c>
      <c r="M64" t="s">
        <v>37</v>
      </c>
    </row>
    <row r="65" spans="1:13" x14ac:dyDescent="0.3">
      <c r="A65" t="s">
        <v>132</v>
      </c>
      <c r="B65" t="s">
        <v>39</v>
      </c>
      <c r="C65" t="s">
        <v>40</v>
      </c>
      <c r="D65" t="s">
        <v>41</v>
      </c>
      <c r="E65" t="s">
        <v>42</v>
      </c>
      <c r="F65" t="s">
        <v>43</v>
      </c>
      <c r="G65" t="s">
        <v>44</v>
      </c>
      <c r="H65" s="1">
        <v>46086</v>
      </c>
      <c r="I65" s="1">
        <v>46032</v>
      </c>
      <c r="J65" s="1">
        <v>46089</v>
      </c>
      <c r="K65" s="3">
        <v>11</v>
      </c>
      <c r="L65" s="3">
        <v>16</v>
      </c>
      <c r="M65" t="s">
        <v>45</v>
      </c>
    </row>
    <row r="66" spans="1:13" x14ac:dyDescent="0.3">
      <c r="A66" t="s">
        <v>133</v>
      </c>
      <c r="B66" t="s">
        <v>47</v>
      </c>
      <c r="C66" t="s">
        <v>48</v>
      </c>
      <c r="D66" t="s">
        <v>49</v>
      </c>
      <c r="E66" t="s">
        <v>50</v>
      </c>
      <c r="F66" t="s">
        <v>21</v>
      </c>
      <c r="G66" t="s">
        <v>51</v>
      </c>
      <c r="H66" s="1">
        <v>46087</v>
      </c>
      <c r="I66" s="1">
        <v>46031</v>
      </c>
      <c r="J66" s="1">
        <v>46090</v>
      </c>
      <c r="K66" s="3">
        <v>12</v>
      </c>
      <c r="L66" s="3">
        <v>3.2606599925843498</v>
      </c>
      <c r="M66" t="s">
        <v>52</v>
      </c>
    </row>
    <row r="67" spans="1:13" x14ac:dyDescent="0.3">
      <c r="A67" t="s">
        <v>134</v>
      </c>
      <c r="B67" t="s">
        <v>54</v>
      </c>
      <c r="C67" t="s">
        <v>18</v>
      </c>
      <c r="D67" t="s">
        <v>55</v>
      </c>
      <c r="E67" t="s">
        <v>20</v>
      </c>
      <c r="F67" t="s">
        <v>21</v>
      </c>
      <c r="G67" t="s">
        <v>56</v>
      </c>
      <c r="H67" s="1">
        <v>46088</v>
      </c>
      <c r="I67" s="1">
        <v>46034</v>
      </c>
      <c r="J67" s="1">
        <v>46091</v>
      </c>
      <c r="K67" s="3">
        <v>1</v>
      </c>
      <c r="L67" s="3">
        <v>3</v>
      </c>
      <c r="M67" t="s">
        <v>37</v>
      </c>
    </row>
    <row r="68" spans="1:13" x14ac:dyDescent="0.3">
      <c r="A68" t="s">
        <v>135</v>
      </c>
      <c r="B68" t="s">
        <v>58</v>
      </c>
      <c r="C68" t="s">
        <v>33</v>
      </c>
      <c r="D68" t="s">
        <v>59</v>
      </c>
      <c r="E68" t="s">
        <v>35</v>
      </c>
      <c r="F68" t="s">
        <v>28</v>
      </c>
      <c r="G68" t="s">
        <v>60</v>
      </c>
      <c r="H68" s="1">
        <v>46089</v>
      </c>
      <c r="I68" s="1">
        <v>46036</v>
      </c>
      <c r="J68" s="1">
        <v>46092</v>
      </c>
      <c r="K68" s="3">
        <v>12</v>
      </c>
      <c r="L68" s="3">
        <v>7</v>
      </c>
      <c r="M68" t="s">
        <v>45</v>
      </c>
    </row>
    <row r="69" spans="1:13" x14ac:dyDescent="0.3">
      <c r="A69" t="s">
        <v>136</v>
      </c>
      <c r="B69" t="s">
        <v>62</v>
      </c>
      <c r="C69" t="s">
        <v>40</v>
      </c>
      <c r="D69" t="s">
        <v>63</v>
      </c>
      <c r="E69" t="s">
        <v>64</v>
      </c>
      <c r="F69" t="s">
        <v>21</v>
      </c>
      <c r="G69" t="s">
        <v>65</v>
      </c>
      <c r="H69" s="1">
        <v>46090</v>
      </c>
      <c r="I69" s="1">
        <v>46035</v>
      </c>
      <c r="J69" s="1">
        <v>46093</v>
      </c>
      <c r="K69" s="3">
        <v>6.0959584723767097</v>
      </c>
      <c r="L69" s="3">
        <v>8</v>
      </c>
      <c r="M69" t="s">
        <v>52</v>
      </c>
    </row>
    <row r="70" spans="1:13" x14ac:dyDescent="0.3">
      <c r="A70" t="s">
        <v>137</v>
      </c>
      <c r="B70" t="s">
        <v>67</v>
      </c>
      <c r="C70" t="s">
        <v>48</v>
      </c>
      <c r="D70" t="s">
        <v>68</v>
      </c>
      <c r="E70" t="s">
        <v>64</v>
      </c>
      <c r="F70" t="s">
        <v>21</v>
      </c>
      <c r="G70" t="s">
        <v>36</v>
      </c>
      <c r="H70" s="1">
        <v>46091</v>
      </c>
      <c r="I70" s="1">
        <v>46037</v>
      </c>
      <c r="J70" s="1">
        <v>46094</v>
      </c>
      <c r="K70" s="3">
        <v>1</v>
      </c>
      <c r="L70" s="3">
        <v>9</v>
      </c>
      <c r="M70" t="s">
        <v>37</v>
      </c>
    </row>
    <row r="71" spans="1:13" x14ac:dyDescent="0.3">
      <c r="A71" t="s">
        <v>138</v>
      </c>
      <c r="B71" t="s">
        <v>17</v>
      </c>
      <c r="C71" t="s">
        <v>18</v>
      </c>
      <c r="D71" t="s">
        <v>19</v>
      </c>
      <c r="E71" t="s">
        <v>20</v>
      </c>
      <c r="F71" t="s">
        <v>28</v>
      </c>
      <c r="G71" t="s">
        <v>70</v>
      </c>
      <c r="H71" s="1">
        <v>46092</v>
      </c>
      <c r="I71" s="1">
        <v>46038</v>
      </c>
      <c r="J71" s="1">
        <v>46095</v>
      </c>
      <c r="K71" s="3">
        <v>12</v>
      </c>
      <c r="L71" s="3">
        <v>5</v>
      </c>
      <c r="M71" t="s">
        <v>37</v>
      </c>
    </row>
    <row r="72" spans="1:13" x14ac:dyDescent="0.3">
      <c r="A72" t="s">
        <v>139</v>
      </c>
      <c r="B72" t="s">
        <v>17</v>
      </c>
      <c r="C72" t="s">
        <v>18</v>
      </c>
      <c r="D72" t="s">
        <v>26</v>
      </c>
      <c r="E72" t="s">
        <v>27</v>
      </c>
      <c r="F72" t="s">
        <v>43</v>
      </c>
      <c r="G72" t="s">
        <v>29</v>
      </c>
      <c r="H72" s="1">
        <v>46093</v>
      </c>
      <c r="I72" s="1">
        <v>46039</v>
      </c>
      <c r="J72" s="1">
        <v>46096</v>
      </c>
      <c r="K72" s="3">
        <v>3</v>
      </c>
      <c r="L72" s="3">
        <v>6</v>
      </c>
      <c r="M72" t="s">
        <v>45</v>
      </c>
    </row>
    <row r="73" spans="1:13" x14ac:dyDescent="0.3">
      <c r="A73" t="s">
        <v>140</v>
      </c>
      <c r="B73" t="s">
        <v>32</v>
      </c>
      <c r="C73" t="s">
        <v>33</v>
      </c>
      <c r="D73" t="s">
        <v>34</v>
      </c>
      <c r="E73" t="s">
        <v>35</v>
      </c>
      <c r="F73" t="s">
        <v>21</v>
      </c>
      <c r="G73" t="s">
        <v>73</v>
      </c>
      <c r="H73" s="1">
        <v>46094</v>
      </c>
      <c r="I73" s="1">
        <v>46040</v>
      </c>
      <c r="J73" s="1">
        <v>46097</v>
      </c>
      <c r="K73" s="3">
        <v>5.9331108639228702</v>
      </c>
      <c r="L73" s="3">
        <v>7</v>
      </c>
      <c r="M73" t="s">
        <v>52</v>
      </c>
    </row>
    <row r="74" spans="1:13" x14ac:dyDescent="0.3">
      <c r="A74" t="s">
        <v>141</v>
      </c>
      <c r="B74" t="s">
        <v>39</v>
      </c>
      <c r="C74" t="s">
        <v>40</v>
      </c>
      <c r="D74" t="s">
        <v>41</v>
      </c>
      <c r="E74" t="s">
        <v>42</v>
      </c>
      <c r="F74" t="s">
        <v>28</v>
      </c>
      <c r="G74" t="s">
        <v>75</v>
      </c>
      <c r="H74" s="1">
        <v>46095</v>
      </c>
      <c r="I74" s="1">
        <v>46041</v>
      </c>
      <c r="J74" s="1">
        <v>46098</v>
      </c>
      <c r="K74" s="3">
        <v>4</v>
      </c>
      <c r="L74" s="3">
        <v>1</v>
      </c>
      <c r="M74" t="s">
        <v>37</v>
      </c>
    </row>
    <row r="75" spans="1:13" x14ac:dyDescent="0.3">
      <c r="A75" t="s">
        <v>142</v>
      </c>
      <c r="B75" t="s">
        <v>47</v>
      </c>
      <c r="C75" t="s">
        <v>48</v>
      </c>
      <c r="D75" t="s">
        <v>49</v>
      </c>
      <c r="E75" t="s">
        <v>50</v>
      </c>
      <c r="F75" t="s">
        <v>43</v>
      </c>
      <c r="G75" t="s">
        <v>77</v>
      </c>
      <c r="H75" s="1">
        <v>46096</v>
      </c>
      <c r="I75" s="1">
        <v>46042</v>
      </c>
      <c r="J75" s="1">
        <v>46099</v>
      </c>
      <c r="K75" s="3">
        <v>12</v>
      </c>
      <c r="L75" s="3">
        <v>3</v>
      </c>
      <c r="M75" t="s">
        <v>45</v>
      </c>
    </row>
    <row r="76" spans="1:13" x14ac:dyDescent="0.3">
      <c r="A76" t="s">
        <v>143</v>
      </c>
      <c r="B76" t="s">
        <v>54</v>
      </c>
      <c r="C76" t="s">
        <v>18</v>
      </c>
      <c r="D76" t="s">
        <v>55</v>
      </c>
      <c r="E76" t="s">
        <v>20</v>
      </c>
      <c r="F76" t="s">
        <v>21</v>
      </c>
      <c r="G76" t="s">
        <v>29</v>
      </c>
      <c r="H76" s="1">
        <v>46097</v>
      </c>
      <c r="I76" s="1">
        <v>46043</v>
      </c>
      <c r="J76" s="1">
        <v>46100</v>
      </c>
      <c r="K76" s="3">
        <v>1</v>
      </c>
      <c r="L76" s="3">
        <v>2.8958101594364098</v>
      </c>
      <c r="M76" t="s">
        <v>30</v>
      </c>
    </row>
    <row r="77" spans="1:13" x14ac:dyDescent="0.3">
      <c r="A77" t="s">
        <v>144</v>
      </c>
      <c r="B77" t="s">
        <v>58</v>
      </c>
      <c r="C77" t="s">
        <v>33</v>
      </c>
      <c r="D77" t="s">
        <v>59</v>
      </c>
      <c r="E77" t="s">
        <v>35</v>
      </c>
      <c r="F77" t="s">
        <v>28</v>
      </c>
      <c r="G77" t="s">
        <v>80</v>
      </c>
      <c r="H77" s="1">
        <v>46098</v>
      </c>
      <c r="I77" s="1">
        <v>46044</v>
      </c>
      <c r="J77" s="1">
        <v>46101</v>
      </c>
      <c r="K77" s="3">
        <v>12</v>
      </c>
      <c r="L77" s="3">
        <v>4</v>
      </c>
      <c r="M77" t="s">
        <v>37</v>
      </c>
    </row>
    <row r="78" spans="1:13" x14ac:dyDescent="0.3">
      <c r="A78" t="s">
        <v>145</v>
      </c>
      <c r="B78" t="s">
        <v>62</v>
      </c>
      <c r="C78" t="s">
        <v>40</v>
      </c>
      <c r="D78" t="s">
        <v>63</v>
      </c>
      <c r="E78" t="s">
        <v>64</v>
      </c>
      <c r="F78" t="s">
        <v>21</v>
      </c>
      <c r="G78" t="s">
        <v>82</v>
      </c>
      <c r="H78" s="1">
        <v>46099</v>
      </c>
      <c r="I78" s="1">
        <v>46045</v>
      </c>
      <c r="J78" s="1">
        <v>46102</v>
      </c>
      <c r="K78" s="3">
        <v>1</v>
      </c>
      <c r="L78" s="3">
        <v>5</v>
      </c>
      <c r="M78" t="s">
        <v>52</v>
      </c>
    </row>
    <row r="79" spans="1:13" x14ac:dyDescent="0.3">
      <c r="A79" t="s">
        <v>146</v>
      </c>
      <c r="B79" t="s">
        <v>67</v>
      </c>
      <c r="C79" t="s">
        <v>48</v>
      </c>
      <c r="D79" t="s">
        <v>68</v>
      </c>
      <c r="E79" t="s">
        <v>64</v>
      </c>
      <c r="F79" t="s">
        <v>28</v>
      </c>
      <c r="G79" t="s">
        <v>73</v>
      </c>
      <c r="H79" s="1">
        <v>46100</v>
      </c>
      <c r="I79" s="1">
        <v>46046</v>
      </c>
      <c r="J79" s="1">
        <v>46103</v>
      </c>
      <c r="K79" s="3">
        <v>13</v>
      </c>
      <c r="L79" s="3">
        <v>6</v>
      </c>
      <c r="M79" t="s">
        <v>37</v>
      </c>
    </row>
    <row r="80" spans="1:13" x14ac:dyDescent="0.3">
      <c r="A80" t="s">
        <v>147</v>
      </c>
      <c r="B80" t="s">
        <v>17</v>
      </c>
      <c r="C80" t="s">
        <v>18</v>
      </c>
      <c r="D80" t="s">
        <v>19</v>
      </c>
      <c r="E80" t="s">
        <v>20</v>
      </c>
      <c r="F80" t="s">
        <v>21</v>
      </c>
      <c r="G80" t="s">
        <v>22</v>
      </c>
      <c r="H80" s="1">
        <v>46101</v>
      </c>
      <c r="I80" s="1">
        <v>46047</v>
      </c>
      <c r="J80" s="1">
        <v>46104</v>
      </c>
      <c r="K80" s="3">
        <v>15</v>
      </c>
      <c r="L80" s="3">
        <v>7</v>
      </c>
      <c r="M80" t="s">
        <v>37</v>
      </c>
    </row>
    <row r="81" spans="1:13" x14ac:dyDescent="0.3">
      <c r="A81" t="s">
        <v>148</v>
      </c>
      <c r="B81" t="s">
        <v>17</v>
      </c>
      <c r="C81" t="s">
        <v>18</v>
      </c>
      <c r="D81" t="s">
        <v>26</v>
      </c>
      <c r="E81" t="s">
        <v>27</v>
      </c>
      <c r="F81" t="s">
        <v>28</v>
      </c>
      <c r="G81" t="s">
        <v>29</v>
      </c>
      <c r="H81" s="1">
        <v>46102</v>
      </c>
      <c r="I81" s="1">
        <v>46048</v>
      </c>
      <c r="J81" s="1">
        <v>46105</v>
      </c>
      <c r="K81" s="3">
        <v>5.6074156470152001</v>
      </c>
      <c r="L81" s="3">
        <v>8</v>
      </c>
      <c r="M81" t="s">
        <v>45</v>
      </c>
    </row>
    <row r="82" spans="1:13" x14ac:dyDescent="0.3">
      <c r="A82" t="s">
        <v>149</v>
      </c>
      <c r="B82" t="s">
        <v>32</v>
      </c>
      <c r="C82" t="s">
        <v>33</v>
      </c>
      <c r="D82" t="s">
        <v>34</v>
      </c>
      <c r="E82" t="s">
        <v>35</v>
      </c>
      <c r="F82" t="s">
        <v>21</v>
      </c>
      <c r="G82" t="s">
        <v>87</v>
      </c>
      <c r="H82" s="1">
        <v>46103</v>
      </c>
      <c r="I82" s="1">
        <v>46049</v>
      </c>
      <c r="J82" s="1">
        <v>46106</v>
      </c>
      <c r="K82" s="3">
        <v>17</v>
      </c>
      <c r="L82" s="3">
        <v>9</v>
      </c>
      <c r="M82" t="s">
        <v>52</v>
      </c>
    </row>
    <row r="83" spans="1:13" x14ac:dyDescent="0.3">
      <c r="A83" t="s">
        <v>150</v>
      </c>
      <c r="B83" t="s">
        <v>39</v>
      </c>
      <c r="C83" t="s">
        <v>40</v>
      </c>
      <c r="D83" t="s">
        <v>41</v>
      </c>
      <c r="E83" t="s">
        <v>42</v>
      </c>
      <c r="F83" t="s">
        <v>43</v>
      </c>
      <c r="G83" t="s">
        <v>89</v>
      </c>
      <c r="H83" s="1">
        <v>46104</v>
      </c>
      <c r="I83" s="1">
        <v>46050</v>
      </c>
      <c r="J83" s="1">
        <v>46107</v>
      </c>
      <c r="K83" s="3">
        <v>8</v>
      </c>
      <c r="L83" s="3">
        <v>1</v>
      </c>
      <c r="M83" t="s">
        <v>37</v>
      </c>
    </row>
    <row r="84" spans="1:13" x14ac:dyDescent="0.3">
      <c r="A84" t="s">
        <v>151</v>
      </c>
      <c r="B84" t="s">
        <v>47</v>
      </c>
      <c r="C84" t="s">
        <v>48</v>
      </c>
      <c r="D84" t="s">
        <v>49</v>
      </c>
      <c r="E84" t="s">
        <v>50</v>
      </c>
      <c r="F84" t="s">
        <v>21</v>
      </c>
      <c r="G84" t="s">
        <v>51</v>
      </c>
      <c r="H84" s="1">
        <v>46105</v>
      </c>
      <c r="I84" s="1">
        <v>46051</v>
      </c>
      <c r="J84" s="1">
        <v>46108</v>
      </c>
      <c r="K84" s="3">
        <v>9</v>
      </c>
      <c r="L84" s="3">
        <v>21</v>
      </c>
      <c r="M84" t="s">
        <v>30</v>
      </c>
    </row>
    <row r="85" spans="1:13" x14ac:dyDescent="0.3">
      <c r="A85" t="s">
        <v>152</v>
      </c>
      <c r="B85" t="s">
        <v>54</v>
      </c>
      <c r="C85" t="s">
        <v>18</v>
      </c>
      <c r="D85" t="s">
        <v>55</v>
      </c>
      <c r="E85" t="s">
        <v>20</v>
      </c>
      <c r="F85" t="s">
        <v>21</v>
      </c>
      <c r="G85" t="s">
        <v>29</v>
      </c>
      <c r="H85" s="1">
        <v>46106</v>
      </c>
      <c r="I85" s="1">
        <v>46052</v>
      </c>
      <c r="J85" s="1">
        <v>46109</v>
      </c>
      <c r="K85" s="3">
        <v>5.4445680385613597</v>
      </c>
      <c r="L85" s="3">
        <v>2.5674453096032601</v>
      </c>
      <c r="M85" t="s">
        <v>37</v>
      </c>
    </row>
    <row r="86" spans="1:13" x14ac:dyDescent="0.3">
      <c r="A86" t="s">
        <v>153</v>
      </c>
      <c r="B86" t="s">
        <v>58</v>
      </c>
      <c r="C86" t="s">
        <v>33</v>
      </c>
      <c r="D86" t="s">
        <v>59</v>
      </c>
      <c r="E86" t="s">
        <v>35</v>
      </c>
      <c r="F86" t="s">
        <v>28</v>
      </c>
      <c r="G86" t="s">
        <v>77</v>
      </c>
      <c r="H86" s="1">
        <v>46107</v>
      </c>
      <c r="I86" s="1">
        <v>46053</v>
      </c>
      <c r="J86" s="1">
        <v>46110</v>
      </c>
      <c r="K86" s="3">
        <v>2</v>
      </c>
      <c r="L86" s="3">
        <v>23</v>
      </c>
      <c r="M86" t="s">
        <v>45</v>
      </c>
    </row>
    <row r="87" spans="1:13" x14ac:dyDescent="0.3">
      <c r="A87" t="s">
        <v>154</v>
      </c>
      <c r="B87" t="s">
        <v>62</v>
      </c>
      <c r="C87" t="s">
        <v>40</v>
      </c>
      <c r="D87" t="s">
        <v>63</v>
      </c>
      <c r="E87" t="s">
        <v>64</v>
      </c>
      <c r="F87" t="s">
        <v>21</v>
      </c>
      <c r="G87" t="s">
        <v>94</v>
      </c>
      <c r="H87" s="1">
        <v>46108</v>
      </c>
      <c r="I87" s="1">
        <v>46054</v>
      </c>
      <c r="J87" s="1">
        <v>46111</v>
      </c>
      <c r="K87" s="3">
        <v>11</v>
      </c>
      <c r="L87" s="3">
        <v>12</v>
      </c>
      <c r="M87" t="s">
        <v>52</v>
      </c>
    </row>
    <row r="88" spans="1:13" x14ac:dyDescent="0.3">
      <c r="A88" t="s">
        <v>155</v>
      </c>
      <c r="B88" t="s">
        <v>67</v>
      </c>
      <c r="C88" t="s">
        <v>48</v>
      </c>
      <c r="D88" t="s">
        <v>68</v>
      </c>
      <c r="E88" t="s">
        <v>64</v>
      </c>
      <c r="F88" t="s">
        <v>28</v>
      </c>
      <c r="G88" t="s">
        <v>73</v>
      </c>
      <c r="H88" s="1">
        <v>46109</v>
      </c>
      <c r="I88" s="1">
        <v>46055</v>
      </c>
      <c r="J88" s="1">
        <v>46112</v>
      </c>
      <c r="K88" s="3">
        <v>13</v>
      </c>
      <c r="L88" s="3">
        <v>11</v>
      </c>
      <c r="M88" t="s">
        <v>37</v>
      </c>
    </row>
    <row r="89" spans="1:13" x14ac:dyDescent="0.3">
      <c r="A89" t="s">
        <v>156</v>
      </c>
      <c r="B89" t="s">
        <v>17</v>
      </c>
      <c r="C89" t="s">
        <v>18</v>
      </c>
      <c r="D89" t="s">
        <v>19</v>
      </c>
      <c r="E89" t="s">
        <v>20</v>
      </c>
      <c r="F89" t="s">
        <v>43</v>
      </c>
      <c r="G89" t="s">
        <v>70</v>
      </c>
      <c r="H89" s="1">
        <v>46110</v>
      </c>
      <c r="I89" s="1">
        <v>46056</v>
      </c>
      <c r="J89" s="1">
        <v>46113</v>
      </c>
      <c r="K89" s="3">
        <v>12</v>
      </c>
      <c r="L89" s="3">
        <v>10</v>
      </c>
      <c r="M89" t="s">
        <v>45</v>
      </c>
    </row>
    <row r="90" spans="1:13" x14ac:dyDescent="0.3">
      <c r="A90" t="s">
        <v>157</v>
      </c>
      <c r="B90" t="s">
        <v>17</v>
      </c>
      <c r="C90" t="s">
        <v>18</v>
      </c>
      <c r="D90" t="s">
        <v>26</v>
      </c>
      <c r="E90" t="s">
        <v>27</v>
      </c>
      <c r="F90" t="s">
        <v>21</v>
      </c>
      <c r="G90" t="s">
        <v>29</v>
      </c>
      <c r="H90" s="1">
        <v>46111</v>
      </c>
      <c r="I90" s="1">
        <v>46057</v>
      </c>
      <c r="J90" s="1">
        <v>46114</v>
      </c>
      <c r="K90" s="3">
        <v>11</v>
      </c>
      <c r="L90" s="3">
        <v>2.3850203930292899</v>
      </c>
      <c r="M90" t="s">
        <v>37</v>
      </c>
    </row>
    <row r="91" spans="1:13" x14ac:dyDescent="0.3">
      <c r="A91" t="s">
        <v>158</v>
      </c>
      <c r="B91" t="s">
        <v>32</v>
      </c>
      <c r="C91" t="s">
        <v>33</v>
      </c>
      <c r="D91" t="s">
        <v>34</v>
      </c>
      <c r="E91" t="s">
        <v>35</v>
      </c>
      <c r="F91" t="s">
        <v>28</v>
      </c>
      <c r="G91" t="s">
        <v>36</v>
      </c>
      <c r="H91" s="1">
        <v>46112</v>
      </c>
      <c r="I91" s="1">
        <v>46058</v>
      </c>
      <c r="J91" s="1">
        <v>46115</v>
      </c>
      <c r="K91" s="3">
        <v>12</v>
      </c>
      <c r="L91" s="3">
        <v>3</v>
      </c>
      <c r="M91" t="s">
        <v>52</v>
      </c>
    </row>
    <row r="92" spans="1:13" x14ac:dyDescent="0.3">
      <c r="A92" t="s">
        <v>159</v>
      </c>
      <c r="B92" t="s">
        <v>17</v>
      </c>
      <c r="C92" t="s">
        <v>18</v>
      </c>
      <c r="D92" t="s">
        <v>19</v>
      </c>
      <c r="E92" t="s">
        <v>20</v>
      </c>
      <c r="F92" t="s">
        <v>21</v>
      </c>
      <c r="G92" t="s">
        <v>22</v>
      </c>
      <c r="H92" s="1">
        <v>46113</v>
      </c>
      <c r="I92" s="1">
        <v>46027</v>
      </c>
      <c r="J92" s="1">
        <v>46116</v>
      </c>
      <c r="K92" s="3">
        <v>13</v>
      </c>
      <c r="L92" s="3">
        <v>7</v>
      </c>
      <c r="M92" t="s">
        <v>24</v>
      </c>
    </row>
    <row r="93" spans="1:13" x14ac:dyDescent="0.3">
      <c r="A93" t="s">
        <v>160</v>
      </c>
      <c r="B93" t="s">
        <v>17</v>
      </c>
      <c r="C93" t="s">
        <v>18</v>
      </c>
      <c r="D93" t="s">
        <v>26</v>
      </c>
      <c r="E93" t="s">
        <v>27</v>
      </c>
      <c r="F93" t="s">
        <v>28</v>
      </c>
      <c r="G93" t="s">
        <v>29</v>
      </c>
      <c r="H93" s="1">
        <v>46114</v>
      </c>
      <c r="I93" s="1">
        <v>46028</v>
      </c>
      <c r="J93" s="1">
        <v>46117</v>
      </c>
      <c r="K93" s="3">
        <v>12</v>
      </c>
      <c r="L93" s="3">
        <v>8</v>
      </c>
      <c r="M93" t="s">
        <v>30</v>
      </c>
    </row>
    <row r="94" spans="1:13" x14ac:dyDescent="0.3">
      <c r="A94" t="s">
        <v>161</v>
      </c>
      <c r="B94" t="s">
        <v>32</v>
      </c>
      <c r="C94" t="s">
        <v>33</v>
      </c>
      <c r="D94" t="s">
        <v>34</v>
      </c>
      <c r="E94" t="s">
        <v>35</v>
      </c>
      <c r="F94" t="s">
        <v>21</v>
      </c>
      <c r="G94" t="s">
        <v>36</v>
      </c>
      <c r="H94" s="1">
        <v>46115</v>
      </c>
      <c r="I94" s="1">
        <v>46030</v>
      </c>
      <c r="J94" s="1">
        <v>46118</v>
      </c>
      <c r="K94" s="3">
        <v>15</v>
      </c>
      <c r="L94" s="3">
        <v>9</v>
      </c>
      <c r="M94" t="s">
        <v>37</v>
      </c>
    </row>
    <row r="95" spans="1:13" x14ac:dyDescent="0.3">
      <c r="A95" t="s">
        <v>162</v>
      </c>
      <c r="B95" t="s">
        <v>39</v>
      </c>
      <c r="C95" t="s">
        <v>40</v>
      </c>
      <c r="D95" t="s">
        <v>41</v>
      </c>
      <c r="E95" t="s">
        <v>42</v>
      </c>
      <c r="F95" t="s">
        <v>43</v>
      </c>
      <c r="G95" t="s">
        <v>44</v>
      </c>
      <c r="H95" s="1">
        <v>46116</v>
      </c>
      <c r="I95" s="1">
        <v>46032</v>
      </c>
      <c r="J95" s="1">
        <v>46119</v>
      </c>
      <c r="K95" s="3">
        <v>3</v>
      </c>
      <c r="L95" s="3">
        <v>4</v>
      </c>
      <c r="M95" t="s">
        <v>45</v>
      </c>
    </row>
    <row r="96" spans="1:13" x14ac:dyDescent="0.3">
      <c r="A96" t="s">
        <v>163</v>
      </c>
      <c r="B96" t="s">
        <v>47</v>
      </c>
      <c r="C96" t="s">
        <v>48</v>
      </c>
      <c r="D96" t="s">
        <v>49</v>
      </c>
      <c r="E96" t="s">
        <v>50</v>
      </c>
      <c r="F96" t="s">
        <v>21</v>
      </c>
      <c r="G96" t="s">
        <v>51</v>
      </c>
      <c r="H96" s="1">
        <v>46117</v>
      </c>
      <c r="I96" s="1">
        <v>46031</v>
      </c>
      <c r="J96" s="1">
        <v>46120</v>
      </c>
      <c r="K96" s="3">
        <v>6</v>
      </c>
      <c r="L96" s="3">
        <v>5</v>
      </c>
      <c r="M96" t="s">
        <v>52</v>
      </c>
    </row>
    <row r="97" spans="1:13" x14ac:dyDescent="0.3">
      <c r="A97" t="s">
        <v>164</v>
      </c>
      <c r="B97" t="s">
        <v>54</v>
      </c>
      <c r="C97" t="s">
        <v>18</v>
      </c>
      <c r="D97" t="s">
        <v>55</v>
      </c>
      <c r="E97" t="s">
        <v>20</v>
      </c>
      <c r="F97" t="s">
        <v>21</v>
      </c>
      <c r="G97" t="s">
        <v>56</v>
      </c>
      <c r="H97" s="1">
        <v>46118</v>
      </c>
      <c r="I97" s="1">
        <v>46034</v>
      </c>
      <c r="J97" s="1">
        <v>46121</v>
      </c>
      <c r="K97" s="3">
        <v>4.9560252131998501</v>
      </c>
      <c r="L97" s="3">
        <v>6</v>
      </c>
      <c r="M97" t="s">
        <v>37</v>
      </c>
    </row>
    <row r="98" spans="1:13" x14ac:dyDescent="0.3">
      <c r="A98" t="s">
        <v>165</v>
      </c>
      <c r="B98" t="s">
        <v>58</v>
      </c>
      <c r="C98" t="s">
        <v>33</v>
      </c>
      <c r="D98" t="s">
        <v>59</v>
      </c>
      <c r="E98" t="s">
        <v>35</v>
      </c>
      <c r="F98" t="s">
        <v>28</v>
      </c>
      <c r="G98" t="s">
        <v>60</v>
      </c>
      <c r="H98" s="1">
        <v>46119</v>
      </c>
      <c r="I98" s="1">
        <v>46036</v>
      </c>
      <c r="J98" s="1">
        <v>46122</v>
      </c>
      <c r="K98" s="3">
        <v>7</v>
      </c>
      <c r="L98" s="3">
        <v>8</v>
      </c>
      <c r="M98" t="s">
        <v>45</v>
      </c>
    </row>
    <row r="99" spans="1:13" x14ac:dyDescent="0.3">
      <c r="A99" t="s">
        <v>166</v>
      </c>
      <c r="B99" t="s">
        <v>62</v>
      </c>
      <c r="C99" t="s">
        <v>40</v>
      </c>
      <c r="D99" t="s">
        <v>63</v>
      </c>
      <c r="E99" t="s">
        <v>64</v>
      </c>
      <c r="F99" t="s">
        <v>21</v>
      </c>
      <c r="G99" t="s">
        <v>65</v>
      </c>
      <c r="H99" s="1">
        <v>46120</v>
      </c>
      <c r="I99" s="1">
        <v>46035</v>
      </c>
      <c r="J99" s="1">
        <v>46123</v>
      </c>
      <c r="K99" s="3">
        <v>8</v>
      </c>
      <c r="L99" s="3">
        <v>1</v>
      </c>
      <c r="M99" t="s">
        <v>52</v>
      </c>
    </row>
    <row r="100" spans="1:13" x14ac:dyDescent="0.3">
      <c r="A100" t="s">
        <v>167</v>
      </c>
      <c r="B100" t="s">
        <v>67</v>
      </c>
      <c r="C100" t="s">
        <v>48</v>
      </c>
      <c r="D100" t="s">
        <v>68</v>
      </c>
      <c r="E100" t="s">
        <v>64</v>
      </c>
      <c r="F100" t="s">
        <v>21</v>
      </c>
      <c r="G100" t="s">
        <v>36</v>
      </c>
      <c r="H100" s="1">
        <v>46121</v>
      </c>
      <c r="I100" s="1">
        <v>46037</v>
      </c>
      <c r="J100" s="1">
        <v>46124</v>
      </c>
      <c r="K100" s="3">
        <v>9</v>
      </c>
      <c r="L100" s="3">
        <v>11</v>
      </c>
      <c r="M100" t="s">
        <v>37</v>
      </c>
    </row>
    <row r="101" spans="1:13" x14ac:dyDescent="0.3">
      <c r="A101" t="s">
        <v>168</v>
      </c>
      <c r="B101" t="s">
        <v>17</v>
      </c>
      <c r="C101" t="s">
        <v>18</v>
      </c>
      <c r="D101" t="s">
        <v>19</v>
      </c>
      <c r="E101" t="s">
        <v>20</v>
      </c>
      <c r="F101" t="s">
        <v>28</v>
      </c>
      <c r="G101" t="s">
        <v>70</v>
      </c>
      <c r="H101" s="1">
        <v>46122</v>
      </c>
      <c r="I101" s="1">
        <v>46038</v>
      </c>
      <c r="J101" s="1">
        <v>46125</v>
      </c>
      <c r="K101" s="3">
        <v>11</v>
      </c>
      <c r="L101" s="3">
        <v>8</v>
      </c>
      <c r="M101" t="s">
        <v>37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A58BB-037C-4329-86C4-573F7E3B94F7}">
  <dimension ref="A1:T102"/>
  <sheetViews>
    <sheetView topLeftCell="L1" workbookViewId="0">
      <selection activeCell="T102" sqref="T102"/>
    </sheetView>
  </sheetViews>
  <sheetFormatPr defaultRowHeight="14.4" x14ac:dyDescent="0.3"/>
  <cols>
    <col min="2" max="2" width="14.21875" customWidth="1"/>
    <col min="3" max="3" width="12.88671875" customWidth="1"/>
    <col min="4" max="4" width="12.5546875" customWidth="1"/>
    <col min="6" max="6" width="9" customWidth="1"/>
    <col min="7" max="7" width="14.33203125" customWidth="1"/>
    <col min="8" max="8" width="11.21875" customWidth="1"/>
    <col min="9" max="9" width="10.33203125" customWidth="1"/>
    <col min="10" max="10" width="16.88671875" customWidth="1"/>
    <col min="11" max="11" width="12.33203125" customWidth="1"/>
    <col min="12" max="12" width="11.88671875" customWidth="1"/>
    <col min="13" max="13" width="16.6640625" customWidth="1"/>
    <col min="14" max="14" width="13.44140625" customWidth="1"/>
    <col min="15" max="15" width="13.6640625" bestFit="1" customWidth="1"/>
    <col min="16" max="17" width="11.88671875" bestFit="1" customWidth="1"/>
    <col min="18" max="19" width="12.44140625" bestFit="1" customWidth="1"/>
  </cols>
  <sheetData>
    <row r="1" spans="1:20" x14ac:dyDescent="0.3">
      <c r="A1" t="s">
        <v>0</v>
      </c>
      <c r="B1" t="s">
        <v>1</v>
      </c>
      <c r="C1" t="s">
        <v>2</v>
      </c>
      <c r="D1" t="s">
        <v>3</v>
      </c>
      <c r="E1" t="s">
        <v>4</v>
      </c>
      <c r="F1" t="s">
        <v>5</v>
      </c>
      <c r="G1" t="s">
        <v>6</v>
      </c>
      <c r="H1" t="s">
        <v>7</v>
      </c>
      <c r="I1" t="s">
        <v>8</v>
      </c>
      <c r="J1" t="s">
        <v>9</v>
      </c>
      <c r="K1" t="s">
        <v>11</v>
      </c>
      <c r="L1" t="s">
        <v>12</v>
      </c>
      <c r="M1" t="s">
        <v>13</v>
      </c>
      <c r="N1" t="s">
        <v>15</v>
      </c>
      <c r="O1" t="s">
        <v>14</v>
      </c>
      <c r="P1" t="s">
        <v>10</v>
      </c>
      <c r="Q1" t="s">
        <v>169</v>
      </c>
      <c r="R1" t="s">
        <v>170</v>
      </c>
      <c r="S1" t="s">
        <v>171</v>
      </c>
      <c r="T1" t="s">
        <v>173</v>
      </c>
    </row>
    <row r="2" spans="1:20" x14ac:dyDescent="0.3">
      <c r="A2" t="s">
        <v>16</v>
      </c>
      <c r="B2" t="s">
        <v>17</v>
      </c>
      <c r="C2" t="s">
        <v>18</v>
      </c>
      <c r="D2" t="s">
        <v>19</v>
      </c>
      <c r="E2" t="s">
        <v>20</v>
      </c>
      <c r="F2" t="s">
        <v>21</v>
      </c>
      <c r="G2" t="s">
        <v>22</v>
      </c>
      <c r="H2" s="1">
        <v>46023</v>
      </c>
      <c r="I2" s="1">
        <v>46027</v>
      </c>
      <c r="J2" s="1">
        <v>46026</v>
      </c>
      <c r="K2" t="s">
        <v>172</v>
      </c>
      <c r="L2">
        <v>10</v>
      </c>
      <c r="M2">
        <v>9</v>
      </c>
      <c r="N2" t="s">
        <v>24</v>
      </c>
      <c r="O2">
        <f>M2-L2</f>
        <v>-1</v>
      </c>
      <c r="P2" t="str">
        <f>IF(Calculation[[#This Row],[Completion Date]]=Calculation[[#This Row],[Progress %]],"In progress",IF(Calculation[[#This Row],[Completion Date]]&gt;Calculation[[#This Row],[Due Date]],"Delayed","Completed"))</f>
        <v>Completed</v>
      </c>
      <c r="Q2" s="3">
        <f>IF(Calculation[[#This Row],[Task Status]]="Completed",100,IF(Calculation[[#This Row],[Task Status]]="In Progress",50,0))</f>
        <v>100</v>
      </c>
      <c r="R2" s="3" t="str">
        <f>IF(Calculation[[#This Row],[Completion Date]]&gt;Calculation[[#This Row],[Due Date]],"Yes","No")</f>
        <v>No</v>
      </c>
      <c r="S2" s="3">
        <f t="shared" ref="S2:S33" si="0">J2-H2</f>
        <v>3</v>
      </c>
      <c r="T2" s="3" t="str">
        <f ca="1">IF(AND(Calculation[[#This Row],[Task Status]]&lt;&gt;"Completed",TODAY()&gt;Calculation[[#This Row],[Due Date]]),"Yes","No")</f>
        <v>No</v>
      </c>
    </row>
    <row r="3" spans="1:20" x14ac:dyDescent="0.3">
      <c r="A3" t="s">
        <v>25</v>
      </c>
      <c r="B3" t="s">
        <v>17</v>
      </c>
      <c r="C3" t="s">
        <v>18</v>
      </c>
      <c r="D3" t="s">
        <v>26</v>
      </c>
      <c r="E3" t="s">
        <v>27</v>
      </c>
      <c r="F3" t="s">
        <v>28</v>
      </c>
      <c r="G3" t="s">
        <v>29</v>
      </c>
      <c r="H3" s="1">
        <v>46024</v>
      </c>
      <c r="I3" s="1">
        <v>46028</v>
      </c>
      <c r="J3" s="1">
        <v>46027</v>
      </c>
      <c r="K3">
        <v>100</v>
      </c>
      <c r="L3">
        <v>8</v>
      </c>
      <c r="M3">
        <v>10</v>
      </c>
      <c r="N3" t="s">
        <v>30</v>
      </c>
      <c r="O3">
        <f t="shared" ref="O3:O66" si="1">M3-L3</f>
        <v>2</v>
      </c>
      <c r="P3" t="str">
        <f>IF(Calculation[[#This Row],[Completion Date]]=Calculation[[#This Row],[Progress %]],"In progress",IF(Calculation[[#This Row],[Completion Date]]&gt;Calculation[[#This Row],[Due Date]],"Delayed","Completed"))</f>
        <v>Completed</v>
      </c>
      <c r="Q3" s="3">
        <f>IF(Calculation[[#This Row],[Task Status]]="Completed",100,IF(Calculation[[#This Row],[Task Status]]="In Progress",50,0))</f>
        <v>100</v>
      </c>
      <c r="R3" s="3" t="str">
        <f>IF(Calculation[[#This Row],[Completion Date]]&gt;Calculation[[#This Row],[Due Date]],"Yes","No")</f>
        <v>No</v>
      </c>
      <c r="S3" s="3">
        <f t="shared" si="0"/>
        <v>3</v>
      </c>
      <c r="T3" s="3" t="str">
        <f ca="1">IF(AND(Calculation[[#This Row],[Task Status]]&lt;&gt;"Completed",TODAY()&gt;Calculation[[#This Row],[Due Date]]),"Yes","No")</f>
        <v>No</v>
      </c>
    </row>
    <row r="4" spans="1:20" x14ac:dyDescent="0.3">
      <c r="A4" t="s">
        <v>31</v>
      </c>
      <c r="B4" t="s">
        <v>32</v>
      </c>
      <c r="C4" t="s">
        <v>33</v>
      </c>
      <c r="D4" t="s">
        <v>34</v>
      </c>
      <c r="E4" t="s">
        <v>35</v>
      </c>
      <c r="F4" t="s">
        <v>21</v>
      </c>
      <c r="G4" t="s">
        <v>36</v>
      </c>
      <c r="H4" s="1">
        <v>46025</v>
      </c>
      <c r="I4" s="1">
        <v>46030</v>
      </c>
      <c r="J4" s="1">
        <v>46028</v>
      </c>
      <c r="K4">
        <v>60</v>
      </c>
      <c r="L4">
        <v>12</v>
      </c>
      <c r="M4">
        <v>7</v>
      </c>
      <c r="N4" t="s">
        <v>37</v>
      </c>
      <c r="O4">
        <f t="shared" si="1"/>
        <v>-5</v>
      </c>
      <c r="P4" t="str">
        <f>IF(Calculation[[#This Row],[Completion Date]]=Calculation[[#This Row],[Progress %]],"In progress",IF(Calculation[[#This Row],[Completion Date]]&gt;Calculation[[#This Row],[Due Date]],"Delayed","Completed"))</f>
        <v>Completed</v>
      </c>
      <c r="Q4" s="3">
        <f>IF(Calculation[[#This Row],[Task Status]]="Completed",100,IF(Calculation[[#This Row],[Task Status]]="In Progress",50,0))</f>
        <v>100</v>
      </c>
      <c r="R4" s="3" t="str">
        <f>IF(Calculation[[#This Row],[Completion Date]]&gt;Calculation[[#This Row],[Due Date]],"Yes","No")</f>
        <v>No</v>
      </c>
      <c r="S4" s="3">
        <f t="shared" si="0"/>
        <v>3</v>
      </c>
      <c r="T4" s="3" t="str">
        <f ca="1">IF(AND(Calculation[[#This Row],[Task Status]]&lt;&gt;"Completed",TODAY()&gt;Calculation[[#This Row],[Due Date]]),"Yes","No")</f>
        <v>No</v>
      </c>
    </row>
    <row r="5" spans="1:20" x14ac:dyDescent="0.3">
      <c r="A5" t="s">
        <v>38</v>
      </c>
      <c r="B5" t="s">
        <v>39</v>
      </c>
      <c r="C5" t="s">
        <v>40</v>
      </c>
      <c r="D5" t="s">
        <v>41</v>
      </c>
      <c r="E5" t="s">
        <v>42</v>
      </c>
      <c r="F5" t="s">
        <v>43</v>
      </c>
      <c r="G5" t="s">
        <v>44</v>
      </c>
      <c r="H5" s="1">
        <v>46026</v>
      </c>
      <c r="I5" s="1">
        <v>46032</v>
      </c>
      <c r="J5" s="1">
        <v>46029</v>
      </c>
      <c r="K5">
        <v>0</v>
      </c>
      <c r="L5">
        <v>6</v>
      </c>
      <c r="M5">
        <v>0</v>
      </c>
      <c r="N5" t="s">
        <v>45</v>
      </c>
      <c r="O5">
        <f t="shared" si="1"/>
        <v>-6</v>
      </c>
      <c r="P5" t="str">
        <f>IF(Calculation[[#This Row],[Completion Date]]=Calculation[[#This Row],[Progress %]],"In progress",IF(Calculation[[#This Row],[Completion Date]]&gt;Calculation[[#This Row],[Due Date]],"Delayed","Completed"))</f>
        <v>Completed</v>
      </c>
      <c r="Q5" s="3">
        <f>IF(Calculation[[#This Row],[Task Status]]="Completed",100,IF(Calculation[[#This Row],[Task Status]]="In Progress",50,0))</f>
        <v>100</v>
      </c>
      <c r="R5" s="3" t="str">
        <f>IF(Calculation[[#This Row],[Completion Date]]&gt;Calculation[[#This Row],[Due Date]],"Yes","No")</f>
        <v>No</v>
      </c>
      <c r="S5" s="3">
        <f t="shared" si="0"/>
        <v>3</v>
      </c>
      <c r="T5" s="3" t="str">
        <f ca="1">IF(AND(Calculation[[#This Row],[Task Status]]&lt;&gt;"Completed",TODAY()&gt;Calculation[[#This Row],[Due Date]]),"Yes","No")</f>
        <v>No</v>
      </c>
    </row>
    <row r="6" spans="1:20" x14ac:dyDescent="0.3">
      <c r="A6" t="s">
        <v>46</v>
      </c>
      <c r="B6" t="s">
        <v>47</v>
      </c>
      <c r="C6" t="s">
        <v>48</v>
      </c>
      <c r="D6" t="s">
        <v>49</v>
      </c>
      <c r="E6" t="s">
        <v>50</v>
      </c>
      <c r="F6" t="s">
        <v>21</v>
      </c>
      <c r="G6" t="s">
        <v>51</v>
      </c>
      <c r="H6" s="1">
        <v>46027</v>
      </c>
      <c r="I6" s="1">
        <v>46031</v>
      </c>
      <c r="J6" s="1">
        <v>46030</v>
      </c>
      <c r="K6">
        <v>100</v>
      </c>
      <c r="L6">
        <v>5</v>
      </c>
      <c r="M6">
        <v>5</v>
      </c>
      <c r="N6" t="s">
        <v>52</v>
      </c>
      <c r="O6">
        <f t="shared" si="1"/>
        <v>0</v>
      </c>
      <c r="P6" t="str">
        <f>IF(Calculation[[#This Row],[Completion Date]]=Calculation[[#This Row],[Progress %]],"In progress",IF(Calculation[[#This Row],[Completion Date]]&gt;Calculation[[#This Row],[Due Date]],"Delayed","Completed"))</f>
        <v>Completed</v>
      </c>
      <c r="Q6" s="3">
        <f>IF(Calculation[[#This Row],[Task Status]]="Completed",100,IF(Calculation[[#This Row],[Task Status]]="In Progress",50,0))</f>
        <v>100</v>
      </c>
      <c r="R6" s="3" t="str">
        <f>IF(Calculation[[#This Row],[Completion Date]]&gt;Calculation[[#This Row],[Due Date]],"Yes","No")</f>
        <v>No</v>
      </c>
      <c r="S6" s="3">
        <f t="shared" si="0"/>
        <v>3</v>
      </c>
      <c r="T6" s="3" t="str">
        <f ca="1">IF(AND(Calculation[[#This Row],[Task Status]]&lt;&gt;"Completed",TODAY()&gt;Calculation[[#This Row],[Due Date]]),"Yes","No")</f>
        <v>No</v>
      </c>
    </row>
    <row r="7" spans="1:20" x14ac:dyDescent="0.3">
      <c r="A7" t="s">
        <v>53</v>
      </c>
      <c r="B7" t="s">
        <v>54</v>
      </c>
      <c r="C7" t="s">
        <v>18</v>
      </c>
      <c r="D7" t="s">
        <v>55</v>
      </c>
      <c r="E7" t="s">
        <v>20</v>
      </c>
      <c r="F7" t="s">
        <v>21</v>
      </c>
      <c r="G7" t="s">
        <v>56</v>
      </c>
      <c r="H7" s="1">
        <v>46028</v>
      </c>
      <c r="I7" s="1">
        <v>46034</v>
      </c>
      <c r="J7" s="1">
        <v>46031</v>
      </c>
      <c r="K7">
        <v>50</v>
      </c>
      <c r="L7">
        <v>15</v>
      </c>
      <c r="M7">
        <v>7</v>
      </c>
      <c r="N7" t="s">
        <v>37</v>
      </c>
      <c r="O7">
        <f t="shared" si="1"/>
        <v>-8</v>
      </c>
      <c r="P7" t="str">
        <f>IF(Calculation[[#This Row],[Completion Date]]=Calculation[[#This Row],[Progress %]],"In progress",IF(Calculation[[#This Row],[Completion Date]]&gt;Calculation[[#This Row],[Due Date]],"Delayed","Completed"))</f>
        <v>Completed</v>
      </c>
      <c r="Q7" s="3">
        <f>IF(Calculation[[#This Row],[Task Status]]="Completed",100,IF(Calculation[[#This Row],[Task Status]]="In Progress",50,0))</f>
        <v>100</v>
      </c>
      <c r="R7" s="3" t="str">
        <f>IF(Calculation[[#This Row],[Completion Date]]&gt;Calculation[[#This Row],[Due Date]],"Yes","No")</f>
        <v>No</v>
      </c>
      <c r="S7" s="3">
        <f t="shared" si="0"/>
        <v>3</v>
      </c>
      <c r="T7" s="3" t="str">
        <f ca="1">IF(AND(Calculation[[#This Row],[Task Status]]&lt;&gt;"Completed",TODAY()&gt;Calculation[[#This Row],[Due Date]]),"Yes","No")</f>
        <v>No</v>
      </c>
    </row>
    <row r="8" spans="1:20" x14ac:dyDescent="0.3">
      <c r="A8" t="s">
        <v>57</v>
      </c>
      <c r="B8" t="s">
        <v>58</v>
      </c>
      <c r="C8" t="s">
        <v>33</v>
      </c>
      <c r="D8" t="s">
        <v>59</v>
      </c>
      <c r="E8" t="s">
        <v>35</v>
      </c>
      <c r="F8" t="s">
        <v>28</v>
      </c>
      <c r="G8" t="s">
        <v>60</v>
      </c>
      <c r="H8" s="1">
        <v>46029</v>
      </c>
      <c r="I8" s="1">
        <v>46036</v>
      </c>
      <c r="J8" s="1">
        <v>46032</v>
      </c>
      <c r="K8">
        <v>0</v>
      </c>
      <c r="L8">
        <v>7</v>
      </c>
      <c r="M8">
        <v>0</v>
      </c>
      <c r="N8" t="s">
        <v>45</v>
      </c>
      <c r="O8">
        <f t="shared" si="1"/>
        <v>-7</v>
      </c>
      <c r="P8" t="str">
        <f>IF(Calculation[[#This Row],[Completion Date]]=Calculation[[#This Row],[Progress %]],"In progress",IF(Calculation[[#This Row],[Completion Date]]&gt;Calculation[[#This Row],[Due Date]],"Delayed","Completed"))</f>
        <v>Completed</v>
      </c>
      <c r="Q8" s="3">
        <f>IF(Calculation[[#This Row],[Task Status]]="Completed",100,IF(Calculation[[#This Row],[Task Status]]="In Progress",50,0))</f>
        <v>100</v>
      </c>
      <c r="R8" s="3" t="str">
        <f>IF(Calculation[[#This Row],[Completion Date]]&gt;Calculation[[#This Row],[Due Date]],"Yes","No")</f>
        <v>No</v>
      </c>
      <c r="S8" s="3">
        <f t="shared" si="0"/>
        <v>3</v>
      </c>
      <c r="T8" s="3" t="str">
        <f ca="1">IF(AND(Calculation[[#This Row],[Task Status]]&lt;&gt;"Completed",TODAY()&gt;Calculation[[#This Row],[Due Date]]),"Yes","No")</f>
        <v>No</v>
      </c>
    </row>
    <row r="9" spans="1:20" x14ac:dyDescent="0.3">
      <c r="A9" t="s">
        <v>61</v>
      </c>
      <c r="B9" t="s">
        <v>62</v>
      </c>
      <c r="C9" t="s">
        <v>40</v>
      </c>
      <c r="D9" t="s">
        <v>63</v>
      </c>
      <c r="E9" t="s">
        <v>64</v>
      </c>
      <c r="F9" t="s">
        <v>21</v>
      </c>
      <c r="G9" t="s">
        <v>65</v>
      </c>
      <c r="H9" s="1">
        <v>46030</v>
      </c>
      <c r="I9" s="1">
        <v>46035</v>
      </c>
      <c r="J9" s="1">
        <v>46033</v>
      </c>
      <c r="K9">
        <v>100</v>
      </c>
      <c r="L9">
        <v>6</v>
      </c>
      <c r="M9">
        <v>6</v>
      </c>
      <c r="N9" t="s">
        <v>52</v>
      </c>
      <c r="O9">
        <f t="shared" si="1"/>
        <v>0</v>
      </c>
      <c r="P9" t="str">
        <f>IF(Calculation[[#This Row],[Completion Date]]=Calculation[[#This Row],[Progress %]],"In progress",IF(Calculation[[#This Row],[Completion Date]]&gt;Calculation[[#This Row],[Due Date]],"Delayed","Completed"))</f>
        <v>Completed</v>
      </c>
      <c r="Q9" s="3">
        <f>IF(Calculation[[#This Row],[Task Status]]="Completed",100,IF(Calculation[[#This Row],[Task Status]]="In Progress",50,0))</f>
        <v>100</v>
      </c>
      <c r="R9" s="3" t="str">
        <f>IF(Calculation[[#This Row],[Completion Date]]&gt;Calculation[[#This Row],[Due Date]],"Yes","No")</f>
        <v>No</v>
      </c>
      <c r="S9" s="3">
        <f t="shared" si="0"/>
        <v>3</v>
      </c>
      <c r="T9" s="3" t="str">
        <f ca="1">IF(AND(Calculation[[#This Row],[Task Status]]&lt;&gt;"Completed",TODAY()&gt;Calculation[[#This Row],[Due Date]]),"Yes","No")</f>
        <v>No</v>
      </c>
    </row>
    <row r="10" spans="1:20" x14ac:dyDescent="0.3">
      <c r="A10" t="s">
        <v>66</v>
      </c>
      <c r="B10" t="s">
        <v>67</v>
      </c>
      <c r="C10" t="s">
        <v>48</v>
      </c>
      <c r="D10" t="s">
        <v>68</v>
      </c>
      <c r="E10" t="s">
        <v>64</v>
      </c>
      <c r="F10" t="s">
        <v>21</v>
      </c>
      <c r="G10" t="s">
        <v>36</v>
      </c>
      <c r="H10" s="1">
        <v>46031</v>
      </c>
      <c r="I10" s="1">
        <v>46037</v>
      </c>
      <c r="J10" s="1">
        <v>46034</v>
      </c>
      <c r="K10">
        <v>40</v>
      </c>
      <c r="L10">
        <v>10</v>
      </c>
      <c r="M10">
        <v>4</v>
      </c>
      <c r="N10" t="s">
        <v>37</v>
      </c>
      <c r="O10">
        <f t="shared" si="1"/>
        <v>-6</v>
      </c>
      <c r="P10" t="str">
        <f>IF(Calculation[[#This Row],[Completion Date]]=Calculation[[#This Row],[Progress %]],"In progress",IF(Calculation[[#This Row],[Completion Date]]&gt;Calculation[[#This Row],[Due Date]],"Delayed","Completed"))</f>
        <v>Completed</v>
      </c>
      <c r="Q10" s="3">
        <f>IF(Calculation[[#This Row],[Task Status]]="Completed",100,IF(Calculation[[#This Row],[Task Status]]="In Progress",50,0))</f>
        <v>100</v>
      </c>
      <c r="R10" s="3" t="str">
        <f>IF(Calculation[[#This Row],[Completion Date]]&gt;Calculation[[#This Row],[Due Date]],"Yes","No")</f>
        <v>No</v>
      </c>
      <c r="S10" s="3">
        <f t="shared" si="0"/>
        <v>3</v>
      </c>
      <c r="T10" s="3" t="str">
        <f ca="1">IF(AND(Calculation[[#This Row],[Task Status]]&lt;&gt;"Completed",TODAY()&gt;Calculation[[#This Row],[Due Date]]),"Yes","No")</f>
        <v>No</v>
      </c>
    </row>
    <row r="11" spans="1:20" x14ac:dyDescent="0.3">
      <c r="A11" t="s">
        <v>69</v>
      </c>
      <c r="B11" t="s">
        <v>17</v>
      </c>
      <c r="C11" t="s">
        <v>18</v>
      </c>
      <c r="D11" t="s">
        <v>19</v>
      </c>
      <c r="E11" t="s">
        <v>20</v>
      </c>
      <c r="F11" t="s">
        <v>28</v>
      </c>
      <c r="G11" t="s">
        <v>70</v>
      </c>
      <c r="H11" s="1">
        <v>46032</v>
      </c>
      <c r="I11" s="1">
        <v>46038</v>
      </c>
      <c r="J11" s="1">
        <v>46035</v>
      </c>
      <c r="K11">
        <v>30</v>
      </c>
      <c r="L11">
        <v>8</v>
      </c>
      <c r="M11">
        <v>3</v>
      </c>
      <c r="N11" t="s">
        <v>37</v>
      </c>
      <c r="O11">
        <f t="shared" si="1"/>
        <v>-5</v>
      </c>
      <c r="P11" t="str">
        <f>IF(Calculation[[#This Row],[Completion Date]]=Calculation[[#This Row],[Progress %]],"In progress",IF(Calculation[[#This Row],[Completion Date]]&gt;Calculation[[#This Row],[Due Date]],"Delayed","Completed"))</f>
        <v>Completed</v>
      </c>
      <c r="Q11" s="3">
        <f>IF(Calculation[[#This Row],[Task Status]]="Completed",100,IF(Calculation[[#This Row],[Task Status]]="In Progress",50,0))</f>
        <v>100</v>
      </c>
      <c r="R11" s="3" t="str">
        <f>IF(Calculation[[#This Row],[Completion Date]]&gt;Calculation[[#This Row],[Due Date]],"Yes","No")</f>
        <v>No</v>
      </c>
      <c r="S11" s="3">
        <f t="shared" si="0"/>
        <v>3</v>
      </c>
      <c r="T11" s="3" t="str">
        <f ca="1">IF(AND(Calculation[[#This Row],[Task Status]]&lt;&gt;"Completed",TODAY()&gt;Calculation[[#This Row],[Due Date]]),"Yes","No")</f>
        <v>No</v>
      </c>
    </row>
    <row r="12" spans="1:20" x14ac:dyDescent="0.3">
      <c r="A12" t="s">
        <v>71</v>
      </c>
      <c r="B12" t="s">
        <v>17</v>
      </c>
      <c r="C12" t="s">
        <v>18</v>
      </c>
      <c r="D12" t="s">
        <v>26</v>
      </c>
      <c r="E12" t="s">
        <v>27</v>
      </c>
      <c r="F12" t="s">
        <v>43</v>
      </c>
      <c r="G12" t="s">
        <v>29</v>
      </c>
      <c r="H12" s="1">
        <v>46033</v>
      </c>
      <c r="I12" s="1">
        <v>46039</v>
      </c>
      <c r="J12" s="1">
        <v>46036</v>
      </c>
      <c r="K12">
        <v>0</v>
      </c>
      <c r="L12">
        <v>6</v>
      </c>
      <c r="M12">
        <v>0</v>
      </c>
      <c r="N12" t="s">
        <v>45</v>
      </c>
      <c r="O12">
        <f t="shared" si="1"/>
        <v>-6</v>
      </c>
      <c r="P12" t="str">
        <f>IF(Calculation[[#This Row],[Completion Date]]=Calculation[[#This Row],[Progress %]],"In progress",IF(Calculation[[#This Row],[Completion Date]]&gt;Calculation[[#This Row],[Due Date]],"Delayed","Completed"))</f>
        <v>Completed</v>
      </c>
      <c r="Q12" s="3">
        <f>IF(Calculation[[#This Row],[Task Status]]="Completed",100,IF(Calculation[[#This Row],[Task Status]]="In Progress",50,0))</f>
        <v>100</v>
      </c>
      <c r="R12" s="3" t="str">
        <f>IF(Calculation[[#This Row],[Completion Date]]&gt;Calculation[[#This Row],[Due Date]],"Yes","No")</f>
        <v>No</v>
      </c>
      <c r="S12" s="3">
        <f t="shared" si="0"/>
        <v>3</v>
      </c>
      <c r="T12" s="3" t="str">
        <f ca="1">IF(AND(Calculation[[#This Row],[Task Status]]&lt;&gt;"Completed",TODAY()&gt;Calculation[[#This Row],[Due Date]]),"Yes","No")</f>
        <v>No</v>
      </c>
    </row>
    <row r="13" spans="1:20" x14ac:dyDescent="0.3">
      <c r="A13" t="s">
        <v>72</v>
      </c>
      <c r="B13" t="s">
        <v>32</v>
      </c>
      <c r="C13" t="s">
        <v>33</v>
      </c>
      <c r="D13" t="s">
        <v>34</v>
      </c>
      <c r="E13" t="s">
        <v>35</v>
      </c>
      <c r="F13" t="s">
        <v>21</v>
      </c>
      <c r="G13" t="s">
        <v>73</v>
      </c>
      <c r="H13" s="1">
        <v>46034</v>
      </c>
      <c r="I13" s="1">
        <v>46040</v>
      </c>
      <c r="J13" s="1">
        <v>46037</v>
      </c>
      <c r="K13">
        <v>100</v>
      </c>
      <c r="L13">
        <v>10</v>
      </c>
      <c r="M13">
        <v>10</v>
      </c>
      <c r="N13" t="s">
        <v>52</v>
      </c>
      <c r="O13">
        <f t="shared" si="1"/>
        <v>0</v>
      </c>
      <c r="P13" t="str">
        <f>IF(Calculation[[#This Row],[Completion Date]]=Calculation[[#This Row],[Progress %]],"In progress",IF(Calculation[[#This Row],[Completion Date]]&gt;Calculation[[#This Row],[Due Date]],"Delayed","Completed"))</f>
        <v>Completed</v>
      </c>
      <c r="Q13" s="3">
        <f>IF(Calculation[[#This Row],[Task Status]]="Completed",100,IF(Calculation[[#This Row],[Task Status]]="In Progress",50,0))</f>
        <v>100</v>
      </c>
      <c r="R13" s="3" t="str">
        <f>IF(Calculation[[#This Row],[Completion Date]]&gt;Calculation[[#This Row],[Due Date]],"Yes","No")</f>
        <v>No</v>
      </c>
      <c r="S13" s="3">
        <f t="shared" si="0"/>
        <v>3</v>
      </c>
      <c r="T13" s="3" t="str">
        <f ca="1">IF(AND(Calculation[[#This Row],[Task Status]]&lt;&gt;"Completed",TODAY()&gt;Calculation[[#This Row],[Due Date]]),"Yes","No")</f>
        <v>No</v>
      </c>
    </row>
    <row r="14" spans="1:20" x14ac:dyDescent="0.3">
      <c r="A14" t="s">
        <v>74</v>
      </c>
      <c r="B14" t="s">
        <v>39</v>
      </c>
      <c r="C14" t="s">
        <v>40</v>
      </c>
      <c r="D14" t="s">
        <v>41</v>
      </c>
      <c r="E14" t="s">
        <v>42</v>
      </c>
      <c r="F14" t="s">
        <v>28</v>
      </c>
      <c r="G14" t="s">
        <v>75</v>
      </c>
      <c r="H14" s="1">
        <v>46035</v>
      </c>
      <c r="I14" s="1">
        <v>46041</v>
      </c>
      <c r="J14" s="1">
        <v>46038</v>
      </c>
      <c r="K14">
        <v>50</v>
      </c>
      <c r="L14">
        <v>7</v>
      </c>
      <c r="M14">
        <v>4</v>
      </c>
      <c r="N14" t="s">
        <v>37</v>
      </c>
      <c r="O14">
        <f t="shared" si="1"/>
        <v>-3</v>
      </c>
      <c r="P14" t="str">
        <f>IF(Calculation[[#This Row],[Completion Date]]=Calculation[[#This Row],[Progress %]],"In progress",IF(Calculation[[#This Row],[Completion Date]]&gt;Calculation[[#This Row],[Due Date]],"Delayed","Completed"))</f>
        <v>Completed</v>
      </c>
      <c r="Q14" s="3">
        <f>IF(Calculation[[#This Row],[Task Status]]="Completed",100,IF(Calculation[[#This Row],[Task Status]]="In Progress",50,0))</f>
        <v>100</v>
      </c>
      <c r="R14" s="3" t="str">
        <f>IF(Calculation[[#This Row],[Completion Date]]&gt;Calculation[[#This Row],[Due Date]],"Yes","No")</f>
        <v>No</v>
      </c>
      <c r="S14" s="3">
        <f t="shared" si="0"/>
        <v>3</v>
      </c>
      <c r="T14" s="3" t="str">
        <f ca="1">IF(AND(Calculation[[#This Row],[Task Status]]&lt;&gt;"Completed",TODAY()&gt;Calculation[[#This Row],[Due Date]]),"Yes","No")</f>
        <v>No</v>
      </c>
    </row>
    <row r="15" spans="1:20" x14ac:dyDescent="0.3">
      <c r="A15" t="s">
        <v>76</v>
      </c>
      <c r="B15" t="s">
        <v>47</v>
      </c>
      <c r="C15" t="s">
        <v>48</v>
      </c>
      <c r="D15" t="s">
        <v>49</v>
      </c>
      <c r="E15" t="s">
        <v>50</v>
      </c>
      <c r="F15" t="s">
        <v>43</v>
      </c>
      <c r="G15" t="s">
        <v>77</v>
      </c>
      <c r="H15" s="1">
        <v>46036</v>
      </c>
      <c r="I15" s="1">
        <v>46042</v>
      </c>
      <c r="J15" s="1">
        <v>46039</v>
      </c>
      <c r="K15">
        <v>0</v>
      </c>
      <c r="L15">
        <v>5</v>
      </c>
      <c r="M15">
        <v>0</v>
      </c>
      <c r="N15" t="s">
        <v>45</v>
      </c>
      <c r="O15">
        <f t="shared" si="1"/>
        <v>-5</v>
      </c>
      <c r="P15" t="str">
        <f>IF(Calculation[[#This Row],[Completion Date]]=Calculation[[#This Row],[Progress %]],"In progress",IF(Calculation[[#This Row],[Completion Date]]&gt;Calculation[[#This Row],[Due Date]],"Delayed","Completed"))</f>
        <v>Completed</v>
      </c>
      <c r="Q15" s="3">
        <f>IF(Calculation[[#This Row],[Task Status]]="Completed",100,IF(Calculation[[#This Row],[Task Status]]="In Progress",50,0))</f>
        <v>100</v>
      </c>
      <c r="R15" s="3" t="str">
        <f>IF(Calculation[[#This Row],[Completion Date]]&gt;Calculation[[#This Row],[Due Date]],"Yes","No")</f>
        <v>No</v>
      </c>
      <c r="S15" s="3">
        <f t="shared" si="0"/>
        <v>3</v>
      </c>
      <c r="T15" s="3" t="str">
        <f ca="1">IF(AND(Calculation[[#This Row],[Task Status]]&lt;&gt;"Completed",TODAY()&gt;Calculation[[#This Row],[Due Date]]),"Yes","No")</f>
        <v>No</v>
      </c>
    </row>
    <row r="16" spans="1:20" x14ac:dyDescent="0.3">
      <c r="A16" t="s">
        <v>78</v>
      </c>
      <c r="B16" t="s">
        <v>54</v>
      </c>
      <c r="C16" t="s">
        <v>18</v>
      </c>
      <c r="D16" t="s">
        <v>55</v>
      </c>
      <c r="E16" t="s">
        <v>20</v>
      </c>
      <c r="F16" t="s">
        <v>21</v>
      </c>
      <c r="G16" t="s">
        <v>29</v>
      </c>
      <c r="H16" s="1">
        <v>46037</v>
      </c>
      <c r="I16" s="1">
        <v>46043</v>
      </c>
      <c r="J16" s="1">
        <v>46040</v>
      </c>
      <c r="K16">
        <v>100</v>
      </c>
      <c r="L16">
        <v>14</v>
      </c>
      <c r="M16">
        <v>16</v>
      </c>
      <c r="N16" t="s">
        <v>30</v>
      </c>
      <c r="O16">
        <f t="shared" si="1"/>
        <v>2</v>
      </c>
      <c r="P16" t="str">
        <f>IF(Calculation[[#This Row],[Completion Date]]=Calculation[[#This Row],[Progress %]],"In progress",IF(Calculation[[#This Row],[Completion Date]]&gt;Calculation[[#This Row],[Due Date]],"Delayed","Completed"))</f>
        <v>Completed</v>
      </c>
      <c r="Q16" s="3">
        <f>IF(Calculation[[#This Row],[Task Status]]="Completed",100,IF(Calculation[[#This Row],[Task Status]]="In Progress",50,0))</f>
        <v>100</v>
      </c>
      <c r="R16" s="3" t="str">
        <f>IF(Calculation[[#This Row],[Completion Date]]&gt;Calculation[[#This Row],[Due Date]],"Yes","No")</f>
        <v>No</v>
      </c>
      <c r="S16" s="3">
        <f t="shared" si="0"/>
        <v>3</v>
      </c>
      <c r="T16" s="3" t="str">
        <f ca="1">IF(AND(Calculation[[#This Row],[Task Status]]&lt;&gt;"Completed",TODAY()&gt;Calculation[[#This Row],[Due Date]]),"Yes","No")</f>
        <v>No</v>
      </c>
    </row>
    <row r="17" spans="1:20" x14ac:dyDescent="0.3">
      <c r="A17" t="s">
        <v>79</v>
      </c>
      <c r="B17" t="s">
        <v>58</v>
      </c>
      <c r="C17" t="s">
        <v>33</v>
      </c>
      <c r="D17" t="s">
        <v>59</v>
      </c>
      <c r="E17" t="s">
        <v>35</v>
      </c>
      <c r="F17" t="s">
        <v>28</v>
      </c>
      <c r="G17" t="s">
        <v>80</v>
      </c>
      <c r="H17" s="1">
        <v>46038</v>
      </c>
      <c r="I17" s="1">
        <v>46044</v>
      </c>
      <c r="J17" s="1">
        <v>46041</v>
      </c>
      <c r="K17">
        <v>60</v>
      </c>
      <c r="L17">
        <v>6</v>
      </c>
      <c r="M17">
        <v>3</v>
      </c>
      <c r="N17" t="s">
        <v>37</v>
      </c>
      <c r="O17">
        <f t="shared" si="1"/>
        <v>-3</v>
      </c>
      <c r="P17" t="str">
        <f>IF(Calculation[[#This Row],[Completion Date]]=Calculation[[#This Row],[Progress %]],"In progress",IF(Calculation[[#This Row],[Completion Date]]&gt;Calculation[[#This Row],[Due Date]],"Delayed","Completed"))</f>
        <v>Completed</v>
      </c>
      <c r="Q17" s="3">
        <f>IF(Calculation[[#This Row],[Task Status]]="Completed",100,IF(Calculation[[#This Row],[Task Status]]="In Progress",50,0))</f>
        <v>100</v>
      </c>
      <c r="R17" s="3" t="str">
        <f>IF(Calculation[[#This Row],[Completion Date]]&gt;Calculation[[#This Row],[Due Date]],"Yes","No")</f>
        <v>No</v>
      </c>
      <c r="S17" s="3">
        <f t="shared" si="0"/>
        <v>3</v>
      </c>
      <c r="T17" s="3" t="str">
        <f ca="1">IF(AND(Calculation[[#This Row],[Task Status]]&lt;&gt;"Completed",TODAY()&gt;Calculation[[#This Row],[Due Date]]),"Yes","No")</f>
        <v>No</v>
      </c>
    </row>
    <row r="18" spans="1:20" x14ac:dyDescent="0.3">
      <c r="A18" t="s">
        <v>81</v>
      </c>
      <c r="B18" t="s">
        <v>62</v>
      </c>
      <c r="C18" t="s">
        <v>40</v>
      </c>
      <c r="D18" t="s">
        <v>63</v>
      </c>
      <c r="E18" t="s">
        <v>64</v>
      </c>
      <c r="F18" t="s">
        <v>21</v>
      </c>
      <c r="G18" t="s">
        <v>82</v>
      </c>
      <c r="H18" s="1">
        <v>46039</v>
      </c>
      <c r="I18" s="1">
        <v>46045</v>
      </c>
      <c r="J18" s="1">
        <v>46042</v>
      </c>
      <c r="K18">
        <v>100</v>
      </c>
      <c r="L18">
        <v>5</v>
      </c>
      <c r="M18">
        <v>5</v>
      </c>
      <c r="N18" t="s">
        <v>52</v>
      </c>
      <c r="O18">
        <f t="shared" si="1"/>
        <v>0</v>
      </c>
      <c r="P18" t="str">
        <f>IF(Calculation[[#This Row],[Completion Date]]=Calculation[[#This Row],[Progress %]],"In progress",IF(Calculation[[#This Row],[Completion Date]]&gt;Calculation[[#This Row],[Due Date]],"Delayed","Completed"))</f>
        <v>Completed</v>
      </c>
      <c r="Q18" s="3">
        <f>IF(Calculation[[#This Row],[Task Status]]="Completed",100,IF(Calculation[[#This Row],[Task Status]]="In Progress",50,0))</f>
        <v>100</v>
      </c>
      <c r="R18" s="3" t="str">
        <f>IF(Calculation[[#This Row],[Completion Date]]&gt;Calculation[[#This Row],[Due Date]],"Yes","No")</f>
        <v>No</v>
      </c>
      <c r="S18" s="3">
        <f t="shared" si="0"/>
        <v>3</v>
      </c>
      <c r="T18" s="3" t="str">
        <f ca="1">IF(AND(Calculation[[#This Row],[Task Status]]&lt;&gt;"Completed",TODAY()&gt;Calculation[[#This Row],[Due Date]]),"Yes","No")</f>
        <v>No</v>
      </c>
    </row>
    <row r="19" spans="1:20" x14ac:dyDescent="0.3">
      <c r="A19" t="s">
        <v>83</v>
      </c>
      <c r="B19" t="s">
        <v>67</v>
      </c>
      <c r="C19" t="s">
        <v>48</v>
      </c>
      <c r="D19" t="s">
        <v>68</v>
      </c>
      <c r="E19" t="s">
        <v>64</v>
      </c>
      <c r="F19" t="s">
        <v>28</v>
      </c>
      <c r="G19" t="s">
        <v>73</v>
      </c>
      <c r="H19" s="1">
        <v>46040</v>
      </c>
      <c r="I19" s="1">
        <v>46046</v>
      </c>
      <c r="J19" s="1">
        <v>46043</v>
      </c>
      <c r="K19">
        <v>45</v>
      </c>
      <c r="L19">
        <v>9</v>
      </c>
      <c r="M19">
        <v>4</v>
      </c>
      <c r="N19" t="s">
        <v>37</v>
      </c>
      <c r="O19">
        <f t="shared" si="1"/>
        <v>-5</v>
      </c>
      <c r="P19" t="str">
        <f>IF(Calculation[[#This Row],[Completion Date]]=Calculation[[#This Row],[Progress %]],"In progress",IF(Calculation[[#This Row],[Completion Date]]&gt;Calculation[[#This Row],[Due Date]],"Delayed","Completed"))</f>
        <v>Completed</v>
      </c>
      <c r="Q19" s="3">
        <f>IF(Calculation[[#This Row],[Task Status]]="Completed",100,IF(Calculation[[#This Row],[Task Status]]="In Progress",50,0))</f>
        <v>100</v>
      </c>
      <c r="R19" s="3" t="str">
        <f>IF(Calculation[[#This Row],[Completion Date]]&gt;Calculation[[#This Row],[Due Date]],"Yes","No")</f>
        <v>No</v>
      </c>
      <c r="S19" s="3">
        <f t="shared" si="0"/>
        <v>3</v>
      </c>
      <c r="T19" s="3" t="str">
        <f ca="1">IF(AND(Calculation[[#This Row],[Task Status]]&lt;&gt;"Completed",TODAY()&gt;Calculation[[#This Row],[Due Date]]),"Yes","No")</f>
        <v>No</v>
      </c>
    </row>
    <row r="20" spans="1:20" x14ac:dyDescent="0.3">
      <c r="A20" t="s">
        <v>84</v>
      </c>
      <c r="B20" t="s">
        <v>17</v>
      </c>
      <c r="C20" t="s">
        <v>18</v>
      </c>
      <c r="D20" t="s">
        <v>19</v>
      </c>
      <c r="E20" t="s">
        <v>20</v>
      </c>
      <c r="F20" t="s">
        <v>21</v>
      </c>
      <c r="G20" t="s">
        <v>22</v>
      </c>
      <c r="H20" s="1">
        <v>46041</v>
      </c>
      <c r="I20" s="1">
        <v>46047</v>
      </c>
      <c r="J20" s="1">
        <v>46044</v>
      </c>
      <c r="K20">
        <v>70</v>
      </c>
      <c r="L20">
        <v>12</v>
      </c>
      <c r="M20">
        <v>9</v>
      </c>
      <c r="N20" t="s">
        <v>37</v>
      </c>
      <c r="O20">
        <f t="shared" si="1"/>
        <v>-3</v>
      </c>
      <c r="P20" t="str">
        <f>IF(Calculation[[#This Row],[Completion Date]]=Calculation[[#This Row],[Progress %]],"In progress",IF(Calculation[[#This Row],[Completion Date]]&gt;Calculation[[#This Row],[Due Date]],"Delayed","Completed"))</f>
        <v>Completed</v>
      </c>
      <c r="Q20" s="3">
        <f>IF(Calculation[[#This Row],[Task Status]]="Completed",100,IF(Calculation[[#This Row],[Task Status]]="In Progress",50,0))</f>
        <v>100</v>
      </c>
      <c r="R20" s="3" t="str">
        <f>IF(Calculation[[#This Row],[Completion Date]]&gt;Calculation[[#This Row],[Due Date]],"Yes","No")</f>
        <v>No</v>
      </c>
      <c r="S20" s="3">
        <f t="shared" si="0"/>
        <v>3</v>
      </c>
      <c r="T20" s="3" t="str">
        <f ca="1">IF(AND(Calculation[[#This Row],[Task Status]]&lt;&gt;"Completed",TODAY()&gt;Calculation[[#This Row],[Due Date]]),"Yes","No")</f>
        <v>No</v>
      </c>
    </row>
    <row r="21" spans="1:20" x14ac:dyDescent="0.3">
      <c r="A21" t="s">
        <v>85</v>
      </c>
      <c r="B21" t="s">
        <v>17</v>
      </c>
      <c r="C21" t="s">
        <v>18</v>
      </c>
      <c r="D21" t="s">
        <v>26</v>
      </c>
      <c r="E21" t="s">
        <v>27</v>
      </c>
      <c r="F21" t="s">
        <v>28</v>
      </c>
      <c r="G21" t="s">
        <v>29</v>
      </c>
      <c r="H21" s="1">
        <v>46042</v>
      </c>
      <c r="I21" s="1">
        <v>46048</v>
      </c>
      <c r="J21" s="1">
        <v>46045</v>
      </c>
      <c r="K21">
        <v>0</v>
      </c>
      <c r="L21">
        <v>8</v>
      </c>
      <c r="M21">
        <v>0</v>
      </c>
      <c r="N21" t="s">
        <v>45</v>
      </c>
      <c r="O21">
        <f t="shared" si="1"/>
        <v>-8</v>
      </c>
      <c r="P21" t="str">
        <f>IF(Calculation[[#This Row],[Completion Date]]=Calculation[[#This Row],[Progress %]],"In progress",IF(Calculation[[#This Row],[Completion Date]]&gt;Calculation[[#This Row],[Due Date]],"Delayed","Completed"))</f>
        <v>Completed</v>
      </c>
      <c r="Q21" s="3">
        <f>IF(Calculation[[#This Row],[Task Status]]="Completed",100,IF(Calculation[[#This Row],[Task Status]]="In Progress",50,0))</f>
        <v>100</v>
      </c>
      <c r="R21" s="3" t="str">
        <f>IF(Calculation[[#This Row],[Completion Date]]&gt;Calculation[[#This Row],[Due Date]],"Yes","No")</f>
        <v>No</v>
      </c>
      <c r="S21" s="3">
        <f t="shared" si="0"/>
        <v>3</v>
      </c>
      <c r="T21" s="3" t="str">
        <f ca="1">IF(AND(Calculation[[#This Row],[Task Status]]&lt;&gt;"Completed",TODAY()&gt;Calculation[[#This Row],[Due Date]]),"Yes","No")</f>
        <v>No</v>
      </c>
    </row>
    <row r="22" spans="1:20" x14ac:dyDescent="0.3">
      <c r="A22" t="s">
        <v>86</v>
      </c>
      <c r="B22" t="s">
        <v>32</v>
      </c>
      <c r="C22" t="s">
        <v>33</v>
      </c>
      <c r="D22" t="s">
        <v>34</v>
      </c>
      <c r="E22" t="s">
        <v>35</v>
      </c>
      <c r="F22" t="s">
        <v>21</v>
      </c>
      <c r="G22" t="s">
        <v>87</v>
      </c>
      <c r="H22" s="1">
        <v>46043</v>
      </c>
      <c r="I22" s="1">
        <v>46049</v>
      </c>
      <c r="J22" s="1">
        <v>46046</v>
      </c>
      <c r="K22">
        <v>100</v>
      </c>
      <c r="L22">
        <v>10</v>
      </c>
      <c r="M22">
        <v>10</v>
      </c>
      <c r="N22" t="s">
        <v>52</v>
      </c>
      <c r="O22">
        <f t="shared" si="1"/>
        <v>0</v>
      </c>
      <c r="P22" t="str">
        <f>IF(Calculation[[#This Row],[Completion Date]]=Calculation[[#This Row],[Progress %]],"In progress",IF(Calculation[[#This Row],[Completion Date]]&gt;Calculation[[#This Row],[Due Date]],"Delayed","Completed"))</f>
        <v>Completed</v>
      </c>
      <c r="Q22" s="3">
        <f>IF(Calculation[[#This Row],[Task Status]]="Completed",100,IF(Calculation[[#This Row],[Task Status]]="In Progress",50,0))</f>
        <v>100</v>
      </c>
      <c r="R22" s="3" t="str">
        <f>IF(Calculation[[#This Row],[Completion Date]]&gt;Calculation[[#This Row],[Due Date]],"Yes","No")</f>
        <v>No</v>
      </c>
      <c r="S22" s="3">
        <f t="shared" si="0"/>
        <v>3</v>
      </c>
      <c r="T22" s="3" t="str">
        <f ca="1">IF(AND(Calculation[[#This Row],[Task Status]]&lt;&gt;"Completed",TODAY()&gt;Calculation[[#This Row],[Due Date]]),"Yes","No")</f>
        <v>No</v>
      </c>
    </row>
    <row r="23" spans="1:20" x14ac:dyDescent="0.3">
      <c r="A23" t="s">
        <v>88</v>
      </c>
      <c r="B23" t="s">
        <v>39</v>
      </c>
      <c r="C23" t="s">
        <v>40</v>
      </c>
      <c r="D23" t="s">
        <v>41</v>
      </c>
      <c r="E23" t="s">
        <v>42</v>
      </c>
      <c r="F23" t="s">
        <v>43</v>
      </c>
      <c r="G23" t="s">
        <v>89</v>
      </c>
      <c r="H23" s="1">
        <v>46044</v>
      </c>
      <c r="I23" s="1">
        <v>46050</v>
      </c>
      <c r="J23" s="1">
        <v>46047</v>
      </c>
      <c r="K23">
        <v>30</v>
      </c>
      <c r="L23">
        <v>6</v>
      </c>
      <c r="M23">
        <v>2</v>
      </c>
      <c r="N23" t="s">
        <v>37</v>
      </c>
      <c r="O23">
        <f t="shared" si="1"/>
        <v>-4</v>
      </c>
      <c r="P23" t="str">
        <f>IF(Calculation[[#This Row],[Completion Date]]=Calculation[[#This Row],[Progress %]],"In progress",IF(Calculation[[#This Row],[Completion Date]]&gt;Calculation[[#This Row],[Due Date]],"Delayed","Completed"))</f>
        <v>Completed</v>
      </c>
      <c r="Q23" s="3">
        <f>IF(Calculation[[#This Row],[Task Status]]="Completed",100,IF(Calculation[[#This Row],[Task Status]]="In Progress",50,0))</f>
        <v>100</v>
      </c>
      <c r="R23" s="3" t="str">
        <f>IF(Calculation[[#This Row],[Completion Date]]&gt;Calculation[[#This Row],[Due Date]],"Yes","No")</f>
        <v>No</v>
      </c>
      <c r="S23" s="3">
        <f t="shared" si="0"/>
        <v>3</v>
      </c>
      <c r="T23" s="3" t="str">
        <f ca="1">IF(AND(Calculation[[#This Row],[Task Status]]&lt;&gt;"Completed",TODAY()&gt;Calculation[[#This Row],[Due Date]]),"Yes","No")</f>
        <v>No</v>
      </c>
    </row>
    <row r="24" spans="1:20" x14ac:dyDescent="0.3">
      <c r="A24" t="s">
        <v>90</v>
      </c>
      <c r="B24" t="s">
        <v>47</v>
      </c>
      <c r="C24" t="s">
        <v>48</v>
      </c>
      <c r="D24" t="s">
        <v>49</v>
      </c>
      <c r="E24" t="s">
        <v>50</v>
      </c>
      <c r="F24" t="s">
        <v>21</v>
      </c>
      <c r="G24" t="s">
        <v>51</v>
      </c>
      <c r="H24" s="1">
        <v>46045</v>
      </c>
      <c r="I24" s="1">
        <v>46051</v>
      </c>
      <c r="J24" s="1">
        <v>46048</v>
      </c>
      <c r="K24">
        <v>100</v>
      </c>
      <c r="L24">
        <v>7</v>
      </c>
      <c r="M24">
        <v>9</v>
      </c>
      <c r="N24" t="s">
        <v>30</v>
      </c>
      <c r="O24">
        <f t="shared" si="1"/>
        <v>2</v>
      </c>
      <c r="P24" t="str">
        <f>IF(Calculation[[#This Row],[Completion Date]]=Calculation[[#This Row],[Progress %]],"In progress",IF(Calculation[[#This Row],[Completion Date]]&gt;Calculation[[#This Row],[Due Date]],"Delayed","Completed"))</f>
        <v>Completed</v>
      </c>
      <c r="Q24" s="3">
        <f>IF(Calculation[[#This Row],[Task Status]]="Completed",100,IF(Calculation[[#This Row],[Task Status]]="In Progress",50,0))</f>
        <v>100</v>
      </c>
      <c r="R24" s="3" t="str">
        <f>IF(Calculation[[#This Row],[Completion Date]]&gt;Calculation[[#This Row],[Due Date]],"Yes","No")</f>
        <v>No</v>
      </c>
      <c r="S24" s="3">
        <f t="shared" si="0"/>
        <v>3</v>
      </c>
      <c r="T24" s="3" t="str">
        <f ca="1">IF(AND(Calculation[[#This Row],[Task Status]]&lt;&gt;"Completed",TODAY()&gt;Calculation[[#This Row],[Due Date]]),"Yes","No")</f>
        <v>No</v>
      </c>
    </row>
    <row r="25" spans="1:20" x14ac:dyDescent="0.3">
      <c r="A25" t="s">
        <v>91</v>
      </c>
      <c r="B25" t="s">
        <v>54</v>
      </c>
      <c r="C25" t="s">
        <v>18</v>
      </c>
      <c r="D25" t="s">
        <v>55</v>
      </c>
      <c r="E25" t="s">
        <v>20</v>
      </c>
      <c r="F25" t="s">
        <v>21</v>
      </c>
      <c r="G25" t="s">
        <v>29</v>
      </c>
      <c r="H25" s="1">
        <v>46046</v>
      </c>
      <c r="I25" s="1">
        <v>46052</v>
      </c>
      <c r="J25" s="1">
        <v>46049</v>
      </c>
      <c r="K25">
        <v>55</v>
      </c>
      <c r="L25">
        <v>13</v>
      </c>
      <c r="M25">
        <v>7</v>
      </c>
      <c r="N25" t="s">
        <v>37</v>
      </c>
      <c r="O25">
        <f t="shared" si="1"/>
        <v>-6</v>
      </c>
      <c r="P25" t="str">
        <f>IF(Calculation[[#This Row],[Completion Date]]=Calculation[[#This Row],[Progress %]],"In progress",IF(Calculation[[#This Row],[Completion Date]]&gt;Calculation[[#This Row],[Due Date]],"Delayed","Completed"))</f>
        <v>Completed</v>
      </c>
      <c r="Q25" s="3">
        <f>IF(Calculation[[#This Row],[Task Status]]="Completed",100,IF(Calculation[[#This Row],[Task Status]]="In Progress",50,0))</f>
        <v>100</v>
      </c>
      <c r="R25" s="3" t="str">
        <f>IF(Calculation[[#This Row],[Completion Date]]&gt;Calculation[[#This Row],[Due Date]],"Yes","No")</f>
        <v>No</v>
      </c>
      <c r="S25" s="3">
        <f t="shared" si="0"/>
        <v>3</v>
      </c>
      <c r="T25" s="3" t="str">
        <f ca="1">IF(AND(Calculation[[#This Row],[Task Status]]&lt;&gt;"Completed",TODAY()&gt;Calculation[[#This Row],[Due Date]]),"Yes","No")</f>
        <v>No</v>
      </c>
    </row>
    <row r="26" spans="1:20" x14ac:dyDescent="0.3">
      <c r="A26" t="s">
        <v>92</v>
      </c>
      <c r="B26" t="s">
        <v>58</v>
      </c>
      <c r="C26" t="s">
        <v>33</v>
      </c>
      <c r="D26" t="s">
        <v>59</v>
      </c>
      <c r="E26" t="s">
        <v>35</v>
      </c>
      <c r="F26" t="s">
        <v>28</v>
      </c>
      <c r="G26" t="s">
        <v>77</v>
      </c>
      <c r="H26" s="1">
        <v>46047</v>
      </c>
      <c r="I26" s="1">
        <v>46053</v>
      </c>
      <c r="J26" s="1">
        <v>46050</v>
      </c>
      <c r="K26">
        <v>0</v>
      </c>
      <c r="L26">
        <v>6</v>
      </c>
      <c r="M26">
        <v>0</v>
      </c>
      <c r="N26" t="s">
        <v>45</v>
      </c>
      <c r="O26">
        <f t="shared" si="1"/>
        <v>-6</v>
      </c>
      <c r="P26" t="str">
        <f>IF(Calculation[[#This Row],[Completion Date]]=Calculation[[#This Row],[Progress %]],"In progress",IF(Calculation[[#This Row],[Completion Date]]&gt;Calculation[[#This Row],[Due Date]],"Delayed","Completed"))</f>
        <v>Completed</v>
      </c>
      <c r="Q26" s="3">
        <f>IF(Calculation[[#This Row],[Task Status]]="Completed",100,IF(Calculation[[#This Row],[Task Status]]="In Progress",50,0))</f>
        <v>100</v>
      </c>
      <c r="R26" s="3" t="str">
        <f>IF(Calculation[[#This Row],[Completion Date]]&gt;Calculation[[#This Row],[Due Date]],"Yes","No")</f>
        <v>No</v>
      </c>
      <c r="S26" s="3">
        <f t="shared" si="0"/>
        <v>3</v>
      </c>
      <c r="T26" s="3" t="str">
        <f ca="1">IF(AND(Calculation[[#This Row],[Task Status]]&lt;&gt;"Completed",TODAY()&gt;Calculation[[#This Row],[Due Date]]),"Yes","No")</f>
        <v>No</v>
      </c>
    </row>
    <row r="27" spans="1:20" x14ac:dyDescent="0.3">
      <c r="A27" t="s">
        <v>93</v>
      </c>
      <c r="B27" t="s">
        <v>62</v>
      </c>
      <c r="C27" t="s">
        <v>40</v>
      </c>
      <c r="D27" t="s">
        <v>63</v>
      </c>
      <c r="E27" t="s">
        <v>64</v>
      </c>
      <c r="F27" t="s">
        <v>21</v>
      </c>
      <c r="G27" t="s">
        <v>94</v>
      </c>
      <c r="H27" s="1">
        <v>46048</v>
      </c>
      <c r="I27" s="1">
        <v>46054</v>
      </c>
      <c r="J27" s="1">
        <v>46051</v>
      </c>
      <c r="K27">
        <v>100</v>
      </c>
      <c r="L27">
        <v>5</v>
      </c>
      <c r="M27">
        <v>5</v>
      </c>
      <c r="N27" t="s">
        <v>52</v>
      </c>
      <c r="O27">
        <f t="shared" si="1"/>
        <v>0</v>
      </c>
      <c r="P27" t="str">
        <f>IF(Calculation[[#This Row],[Completion Date]]=Calculation[[#This Row],[Progress %]],"In progress",IF(Calculation[[#This Row],[Completion Date]]&gt;Calculation[[#This Row],[Due Date]],"Delayed","Completed"))</f>
        <v>Completed</v>
      </c>
      <c r="Q27" s="3">
        <f>IF(Calculation[[#This Row],[Task Status]]="Completed",100,IF(Calculation[[#This Row],[Task Status]]="In Progress",50,0))</f>
        <v>100</v>
      </c>
      <c r="R27" s="3" t="str">
        <f>IF(Calculation[[#This Row],[Completion Date]]&gt;Calculation[[#This Row],[Due Date]],"Yes","No")</f>
        <v>No</v>
      </c>
      <c r="S27" s="3">
        <f t="shared" si="0"/>
        <v>3</v>
      </c>
      <c r="T27" s="3" t="str">
        <f ca="1">IF(AND(Calculation[[#This Row],[Task Status]]&lt;&gt;"Completed",TODAY()&gt;Calculation[[#This Row],[Due Date]]),"Yes","No")</f>
        <v>No</v>
      </c>
    </row>
    <row r="28" spans="1:20" x14ac:dyDescent="0.3">
      <c r="A28" t="s">
        <v>95</v>
      </c>
      <c r="B28" t="s">
        <v>67</v>
      </c>
      <c r="C28" t="s">
        <v>48</v>
      </c>
      <c r="D28" t="s">
        <v>68</v>
      </c>
      <c r="E28" t="s">
        <v>64</v>
      </c>
      <c r="F28" t="s">
        <v>28</v>
      </c>
      <c r="G28" t="s">
        <v>73</v>
      </c>
      <c r="H28" s="1">
        <v>46049</v>
      </c>
      <c r="I28" s="1">
        <v>46055</v>
      </c>
      <c r="J28" s="1">
        <v>46052</v>
      </c>
      <c r="K28">
        <v>40</v>
      </c>
      <c r="L28">
        <v>5</v>
      </c>
      <c r="M28">
        <v>3</v>
      </c>
      <c r="N28" t="s">
        <v>37</v>
      </c>
      <c r="O28">
        <f t="shared" si="1"/>
        <v>-2</v>
      </c>
      <c r="P28" t="str">
        <f>IF(Calculation[[#This Row],[Completion Date]]=Calculation[[#This Row],[Progress %]],"In progress",IF(Calculation[[#This Row],[Completion Date]]&gt;Calculation[[#This Row],[Due Date]],"Delayed","Completed"))</f>
        <v>Completed</v>
      </c>
      <c r="Q28" s="3">
        <f>IF(Calculation[[#This Row],[Task Status]]="Completed",100,IF(Calculation[[#This Row],[Task Status]]="In Progress",50,0))</f>
        <v>100</v>
      </c>
      <c r="R28" s="3" t="str">
        <f>IF(Calculation[[#This Row],[Completion Date]]&gt;Calculation[[#This Row],[Due Date]],"Yes","No")</f>
        <v>No</v>
      </c>
      <c r="S28" s="3">
        <f t="shared" si="0"/>
        <v>3</v>
      </c>
      <c r="T28" s="3" t="str">
        <f ca="1">IF(AND(Calculation[[#This Row],[Task Status]]&lt;&gt;"Completed",TODAY()&gt;Calculation[[#This Row],[Due Date]]),"Yes","No")</f>
        <v>No</v>
      </c>
    </row>
    <row r="29" spans="1:20" x14ac:dyDescent="0.3">
      <c r="A29" t="s">
        <v>96</v>
      </c>
      <c r="B29" t="s">
        <v>17</v>
      </c>
      <c r="C29" t="s">
        <v>18</v>
      </c>
      <c r="D29" t="s">
        <v>19</v>
      </c>
      <c r="E29" t="s">
        <v>20</v>
      </c>
      <c r="F29" t="s">
        <v>43</v>
      </c>
      <c r="G29" t="s">
        <v>70</v>
      </c>
      <c r="H29" s="1">
        <v>46050</v>
      </c>
      <c r="I29" s="1">
        <v>46056</v>
      </c>
      <c r="J29" s="1">
        <v>46053</v>
      </c>
      <c r="K29">
        <v>0</v>
      </c>
      <c r="L29">
        <v>6</v>
      </c>
      <c r="M29">
        <v>2</v>
      </c>
      <c r="N29" t="s">
        <v>45</v>
      </c>
      <c r="O29">
        <f t="shared" si="1"/>
        <v>-4</v>
      </c>
      <c r="P29" t="str">
        <f>IF(Calculation[[#This Row],[Completion Date]]=Calculation[[#This Row],[Progress %]],"In progress",IF(Calculation[[#This Row],[Completion Date]]&gt;Calculation[[#This Row],[Due Date]],"Delayed","Completed"))</f>
        <v>Completed</v>
      </c>
      <c r="Q29" s="3">
        <f>IF(Calculation[[#This Row],[Task Status]]="Completed",100,IF(Calculation[[#This Row],[Task Status]]="In Progress",50,0))</f>
        <v>100</v>
      </c>
      <c r="R29" s="3" t="str">
        <f>IF(Calculation[[#This Row],[Completion Date]]&gt;Calculation[[#This Row],[Due Date]],"Yes","No")</f>
        <v>No</v>
      </c>
      <c r="S29" s="3">
        <f t="shared" si="0"/>
        <v>3</v>
      </c>
      <c r="T29" s="3" t="str">
        <f ca="1">IF(AND(Calculation[[#This Row],[Task Status]]&lt;&gt;"Completed",TODAY()&gt;Calculation[[#This Row],[Due Date]]),"Yes","No")</f>
        <v>No</v>
      </c>
    </row>
    <row r="30" spans="1:20" x14ac:dyDescent="0.3">
      <c r="A30" t="s">
        <v>97</v>
      </c>
      <c r="B30" t="s">
        <v>17</v>
      </c>
      <c r="C30" t="s">
        <v>18</v>
      </c>
      <c r="D30" t="s">
        <v>26</v>
      </c>
      <c r="E30" t="s">
        <v>27</v>
      </c>
      <c r="F30" t="s">
        <v>21</v>
      </c>
      <c r="G30" t="s">
        <v>29</v>
      </c>
      <c r="H30" s="1">
        <v>46051</v>
      </c>
      <c r="I30" s="1">
        <v>46057</v>
      </c>
      <c r="J30" s="1">
        <v>46054</v>
      </c>
      <c r="K30">
        <v>60</v>
      </c>
      <c r="L30">
        <v>12</v>
      </c>
      <c r="M30">
        <v>12</v>
      </c>
      <c r="N30" t="s">
        <v>37</v>
      </c>
      <c r="O30">
        <f t="shared" si="1"/>
        <v>0</v>
      </c>
      <c r="P30" t="str">
        <f>IF(Calculation[[#This Row],[Completion Date]]=Calculation[[#This Row],[Progress %]],"In progress",IF(Calculation[[#This Row],[Completion Date]]&gt;Calculation[[#This Row],[Due Date]],"Delayed","Completed"))</f>
        <v>Completed</v>
      </c>
      <c r="Q30" s="3">
        <f>IF(Calculation[[#This Row],[Task Status]]="Completed",100,IF(Calculation[[#This Row],[Task Status]]="In Progress",50,0))</f>
        <v>100</v>
      </c>
      <c r="R30" s="3" t="str">
        <f>IF(Calculation[[#This Row],[Completion Date]]&gt;Calculation[[#This Row],[Due Date]],"Yes","No")</f>
        <v>No</v>
      </c>
      <c r="S30" s="3">
        <f t="shared" si="0"/>
        <v>3</v>
      </c>
      <c r="T30" s="3" t="str">
        <f ca="1">IF(AND(Calculation[[#This Row],[Task Status]]&lt;&gt;"Completed",TODAY()&gt;Calculation[[#This Row],[Due Date]]),"Yes","No")</f>
        <v>No</v>
      </c>
    </row>
    <row r="31" spans="1:20" x14ac:dyDescent="0.3">
      <c r="A31" t="s">
        <v>98</v>
      </c>
      <c r="B31" t="s">
        <v>32</v>
      </c>
      <c r="C31" t="s">
        <v>33</v>
      </c>
      <c r="D31" t="s">
        <v>34</v>
      </c>
      <c r="E31" t="s">
        <v>35</v>
      </c>
      <c r="F31" t="s">
        <v>28</v>
      </c>
      <c r="G31" t="s">
        <v>36</v>
      </c>
      <c r="H31" s="1">
        <v>46052</v>
      </c>
      <c r="I31" s="1">
        <v>46058</v>
      </c>
      <c r="J31" s="1">
        <v>46055</v>
      </c>
      <c r="K31">
        <v>100</v>
      </c>
      <c r="L31">
        <v>14</v>
      </c>
      <c r="M31">
        <v>32</v>
      </c>
      <c r="N31" t="s">
        <v>52</v>
      </c>
      <c r="O31">
        <f t="shared" si="1"/>
        <v>18</v>
      </c>
      <c r="P31" t="str">
        <f>IF(Calculation[[#This Row],[Completion Date]]=Calculation[[#This Row],[Progress %]],"In progress",IF(Calculation[[#This Row],[Completion Date]]&gt;Calculation[[#This Row],[Due Date]],"Delayed","Completed"))</f>
        <v>Completed</v>
      </c>
      <c r="Q31" s="3">
        <f>IF(Calculation[[#This Row],[Task Status]]="Completed",100,IF(Calculation[[#This Row],[Task Status]]="In Progress",50,0))</f>
        <v>100</v>
      </c>
      <c r="R31" s="3" t="str">
        <f>IF(Calculation[[#This Row],[Completion Date]]&gt;Calculation[[#This Row],[Due Date]],"Yes","No")</f>
        <v>No</v>
      </c>
      <c r="S31" s="3">
        <f t="shared" si="0"/>
        <v>3</v>
      </c>
      <c r="T31" s="3" t="str">
        <f ca="1">IF(AND(Calculation[[#This Row],[Task Status]]&lt;&gt;"Completed",TODAY()&gt;Calculation[[#This Row],[Due Date]]),"Yes","No")</f>
        <v>No</v>
      </c>
    </row>
    <row r="32" spans="1:20" x14ac:dyDescent="0.3">
      <c r="A32" t="s">
        <v>99</v>
      </c>
      <c r="B32" t="s">
        <v>17</v>
      </c>
      <c r="C32" t="s">
        <v>18</v>
      </c>
      <c r="D32" t="s">
        <v>19</v>
      </c>
      <c r="E32" t="s">
        <v>20</v>
      </c>
      <c r="F32" t="s">
        <v>21</v>
      </c>
      <c r="G32" t="s">
        <v>22</v>
      </c>
      <c r="H32" s="1">
        <v>46053</v>
      </c>
      <c r="I32" s="1">
        <v>46027</v>
      </c>
      <c r="J32" s="1">
        <v>46056</v>
      </c>
      <c r="K32" s="3">
        <v>52.850574712643699</v>
      </c>
      <c r="L32" s="3">
        <v>5</v>
      </c>
      <c r="M32" s="3">
        <v>5</v>
      </c>
      <c r="N32" t="s">
        <v>24</v>
      </c>
      <c r="O32">
        <f t="shared" si="1"/>
        <v>0</v>
      </c>
      <c r="P32" t="str">
        <f>IF(Calculation[[#This Row],[Completion Date]]=Calculation[[#This Row],[Progress %]],"In progress",IF(Calculation[[#This Row],[Completion Date]]&gt;Calculation[[#This Row],[Due Date]],"Delayed","Completed"))</f>
        <v>Delayed</v>
      </c>
      <c r="Q32" s="3">
        <f>IF(Calculation[[#This Row],[Task Status]]="Completed",100,IF(Calculation[[#This Row],[Task Status]]="In Progress",50,0))</f>
        <v>0</v>
      </c>
      <c r="R32" s="3" t="str">
        <f>IF(Calculation[[#This Row],[Completion Date]]&gt;Calculation[[#This Row],[Due Date]],"Yes","No")</f>
        <v>Yes</v>
      </c>
      <c r="S32" s="3">
        <f t="shared" si="0"/>
        <v>3</v>
      </c>
      <c r="T32" s="3" t="str">
        <f ca="1">IF(AND(Calculation[[#This Row],[Task Status]]&lt;&gt;"Completed",TODAY()&gt;Calculation[[#This Row],[Due Date]]),"Yes","No")</f>
        <v>Yes</v>
      </c>
    </row>
    <row r="33" spans="1:20" x14ac:dyDescent="0.3">
      <c r="A33" t="s">
        <v>100</v>
      </c>
      <c r="B33" t="s">
        <v>17</v>
      </c>
      <c r="C33" t="s">
        <v>18</v>
      </c>
      <c r="D33" t="s">
        <v>26</v>
      </c>
      <c r="E33" t="s">
        <v>27</v>
      </c>
      <c r="F33" t="s">
        <v>28</v>
      </c>
      <c r="G33" t="s">
        <v>29</v>
      </c>
      <c r="H33" s="1">
        <v>46054</v>
      </c>
      <c r="I33" s="1">
        <v>46028</v>
      </c>
      <c r="J33" s="1">
        <v>46057</v>
      </c>
      <c r="K33" s="3">
        <v>43</v>
      </c>
      <c r="L33" s="3">
        <v>3</v>
      </c>
      <c r="M33" s="3">
        <v>4.4646644419725598</v>
      </c>
      <c r="N33" t="s">
        <v>30</v>
      </c>
      <c r="O33">
        <f t="shared" si="1"/>
        <v>1.4646644419725598</v>
      </c>
      <c r="P33" t="str">
        <f>IF(Calculation[[#This Row],[Completion Date]]=Calculation[[#This Row],[Progress %]],"In progress",IF(Calculation[[#This Row],[Completion Date]]&gt;Calculation[[#This Row],[Due Date]],"Delayed","Completed"))</f>
        <v>Delayed</v>
      </c>
      <c r="Q33" s="3">
        <f>IF(Calculation[[#This Row],[Task Status]]="Completed",100,IF(Calculation[[#This Row],[Task Status]]="In Progress",50,0))</f>
        <v>0</v>
      </c>
      <c r="R33" s="3" t="str">
        <f>IF(Calculation[[#This Row],[Completion Date]]&gt;Calculation[[#This Row],[Due Date]],"Yes","No")</f>
        <v>Yes</v>
      </c>
      <c r="S33" s="3">
        <f t="shared" si="0"/>
        <v>3</v>
      </c>
      <c r="T33" s="3" t="str">
        <f ca="1">IF(AND(Calculation[[#This Row],[Task Status]]&lt;&gt;"Completed",TODAY()&gt;Calculation[[#This Row],[Due Date]]),"Yes","No")</f>
        <v>Yes</v>
      </c>
    </row>
    <row r="34" spans="1:20" x14ac:dyDescent="0.3">
      <c r="A34" t="s">
        <v>101</v>
      </c>
      <c r="B34" t="s">
        <v>32</v>
      </c>
      <c r="C34" t="s">
        <v>33</v>
      </c>
      <c r="D34" t="s">
        <v>34</v>
      </c>
      <c r="E34" t="s">
        <v>35</v>
      </c>
      <c r="F34" t="s">
        <v>21</v>
      </c>
      <c r="G34" t="s">
        <v>36</v>
      </c>
      <c r="H34" s="1">
        <v>46055</v>
      </c>
      <c r="I34" s="1">
        <v>46030</v>
      </c>
      <c r="J34" s="1">
        <v>46058</v>
      </c>
      <c r="K34" s="3">
        <v>23</v>
      </c>
      <c r="L34" s="3">
        <v>15</v>
      </c>
      <c r="M34" s="3">
        <v>22</v>
      </c>
      <c r="N34" t="s">
        <v>37</v>
      </c>
      <c r="O34">
        <f t="shared" si="1"/>
        <v>7</v>
      </c>
      <c r="P34" t="str">
        <f>IF(Calculation[[#This Row],[Completion Date]]=Calculation[[#This Row],[Progress %]],"In progress",IF(Calculation[[#This Row],[Completion Date]]&gt;Calculation[[#This Row],[Due Date]],"Delayed","Completed"))</f>
        <v>Delayed</v>
      </c>
      <c r="Q34" s="3">
        <f>IF(Calculation[[#This Row],[Task Status]]="Completed",100,IF(Calculation[[#This Row],[Task Status]]="In Progress",50,0))</f>
        <v>0</v>
      </c>
      <c r="R34" s="3" t="str">
        <f>IF(Calculation[[#This Row],[Completion Date]]&gt;Calculation[[#This Row],[Due Date]],"Yes","No")</f>
        <v>Yes</v>
      </c>
      <c r="S34" s="3">
        <f t="shared" ref="S34:S65" si="2">J34-H34</f>
        <v>3</v>
      </c>
      <c r="T34" s="3" t="str">
        <f ca="1">IF(AND(Calculation[[#This Row],[Task Status]]&lt;&gt;"Completed",TODAY()&gt;Calculation[[#This Row],[Due Date]]),"Yes","No")</f>
        <v>Yes</v>
      </c>
    </row>
    <row r="35" spans="1:20" x14ac:dyDescent="0.3">
      <c r="A35" t="s">
        <v>102</v>
      </c>
      <c r="B35" t="s">
        <v>39</v>
      </c>
      <c r="C35" t="s">
        <v>40</v>
      </c>
      <c r="D35" t="s">
        <v>41</v>
      </c>
      <c r="E35" t="s">
        <v>42</v>
      </c>
      <c r="F35" t="s">
        <v>43</v>
      </c>
      <c r="G35" t="s">
        <v>44</v>
      </c>
      <c r="H35" s="1">
        <v>46056</v>
      </c>
      <c r="I35" s="1">
        <v>46032</v>
      </c>
      <c r="J35" s="1">
        <v>46059</v>
      </c>
      <c r="K35" s="3">
        <v>100</v>
      </c>
      <c r="L35" s="3">
        <v>5</v>
      </c>
      <c r="M35" s="3">
        <v>3</v>
      </c>
      <c r="N35" t="s">
        <v>45</v>
      </c>
      <c r="O35">
        <f t="shared" si="1"/>
        <v>-2</v>
      </c>
      <c r="P35" t="str">
        <f>IF(Calculation[[#This Row],[Completion Date]]=Calculation[[#This Row],[Progress %]],"In progress",IF(Calculation[[#This Row],[Completion Date]]&gt;Calculation[[#This Row],[Due Date]],"Delayed","Completed"))</f>
        <v>Delayed</v>
      </c>
      <c r="Q35" s="3">
        <f>IF(Calculation[[#This Row],[Task Status]]="Completed",100,IF(Calculation[[#This Row],[Task Status]]="In Progress",50,0))</f>
        <v>0</v>
      </c>
      <c r="R35" s="3" t="str">
        <f>IF(Calculation[[#This Row],[Completion Date]]&gt;Calculation[[#This Row],[Due Date]],"Yes","No")</f>
        <v>Yes</v>
      </c>
      <c r="S35" s="3">
        <f t="shared" si="2"/>
        <v>3</v>
      </c>
      <c r="T35" s="3" t="str">
        <f ca="1">IF(AND(Calculation[[#This Row],[Task Status]]&lt;&gt;"Completed",TODAY()&gt;Calculation[[#This Row],[Due Date]]),"Yes","No")</f>
        <v>Yes</v>
      </c>
    </row>
    <row r="36" spans="1:20" x14ac:dyDescent="0.3">
      <c r="A36" t="s">
        <v>103</v>
      </c>
      <c r="B36" t="s">
        <v>47</v>
      </c>
      <c r="C36" t="s">
        <v>48</v>
      </c>
      <c r="D36" t="s">
        <v>49</v>
      </c>
      <c r="E36" t="s">
        <v>50</v>
      </c>
      <c r="F36" t="s">
        <v>21</v>
      </c>
      <c r="G36" t="s">
        <v>51</v>
      </c>
      <c r="H36" s="1">
        <v>46057</v>
      </c>
      <c r="I36" s="1">
        <v>46031</v>
      </c>
      <c r="J36" s="1">
        <v>46060</v>
      </c>
      <c r="K36" s="3">
        <v>23</v>
      </c>
      <c r="L36" s="3">
        <v>12</v>
      </c>
      <c r="M36" s="3">
        <v>15</v>
      </c>
      <c r="N36" t="s">
        <v>52</v>
      </c>
      <c r="O36">
        <f t="shared" si="1"/>
        <v>3</v>
      </c>
      <c r="P36" t="str">
        <f>IF(Calculation[[#This Row],[Completion Date]]=Calculation[[#This Row],[Progress %]],"In progress",IF(Calculation[[#This Row],[Completion Date]]&gt;Calculation[[#This Row],[Due Date]],"Delayed","Completed"))</f>
        <v>Delayed</v>
      </c>
      <c r="Q36" s="3">
        <f>IF(Calculation[[#This Row],[Task Status]]="Completed",100,IF(Calculation[[#This Row],[Task Status]]="In Progress",50,0))</f>
        <v>0</v>
      </c>
      <c r="R36" s="3" t="str">
        <f>IF(Calculation[[#This Row],[Completion Date]]&gt;Calculation[[#This Row],[Due Date]],"Yes","No")</f>
        <v>Yes</v>
      </c>
      <c r="S36" s="3">
        <f t="shared" si="2"/>
        <v>3</v>
      </c>
      <c r="T36" s="3" t="str">
        <f ca="1">IF(AND(Calculation[[#This Row],[Task Status]]&lt;&gt;"Completed",TODAY()&gt;Calculation[[#This Row],[Due Date]]),"Yes","No")</f>
        <v>Yes</v>
      </c>
    </row>
    <row r="37" spans="1:20" x14ac:dyDescent="0.3">
      <c r="A37" t="s">
        <v>104</v>
      </c>
      <c r="B37" t="s">
        <v>54</v>
      </c>
      <c r="C37" t="s">
        <v>18</v>
      </c>
      <c r="D37" t="s">
        <v>55</v>
      </c>
      <c r="E37" t="s">
        <v>20</v>
      </c>
      <c r="F37" t="s">
        <v>21</v>
      </c>
      <c r="G37" t="s">
        <v>56</v>
      </c>
      <c r="H37" s="1">
        <v>46058</v>
      </c>
      <c r="I37" s="1">
        <v>46034</v>
      </c>
      <c r="J37" s="1">
        <v>46061</v>
      </c>
      <c r="K37" s="3">
        <v>45</v>
      </c>
      <c r="L37" s="3">
        <v>6</v>
      </c>
      <c r="M37" s="3">
        <v>6</v>
      </c>
      <c r="N37" t="s">
        <v>37</v>
      </c>
      <c r="O37">
        <f t="shared" si="1"/>
        <v>0</v>
      </c>
      <c r="P37" t="str">
        <f>IF(Calculation[[#This Row],[Completion Date]]=Calculation[[#This Row],[Progress %]],"In progress",IF(Calculation[[#This Row],[Completion Date]]&gt;Calculation[[#This Row],[Due Date]],"Delayed","Completed"))</f>
        <v>Delayed</v>
      </c>
      <c r="Q37" s="3">
        <f>IF(Calculation[[#This Row],[Task Status]]="Completed",100,IF(Calculation[[#This Row],[Task Status]]="In Progress",50,0))</f>
        <v>0</v>
      </c>
      <c r="R37" s="3" t="str">
        <f>IF(Calculation[[#This Row],[Completion Date]]&gt;Calculation[[#This Row],[Due Date]],"Yes","No")</f>
        <v>Yes</v>
      </c>
      <c r="S37" s="3">
        <f t="shared" si="2"/>
        <v>3</v>
      </c>
      <c r="T37" s="3" t="str">
        <f ca="1">IF(AND(Calculation[[#This Row],[Task Status]]&lt;&gt;"Completed",TODAY()&gt;Calculation[[#This Row],[Due Date]]),"Yes","No")</f>
        <v>Yes</v>
      </c>
    </row>
    <row r="38" spans="1:20" x14ac:dyDescent="0.3">
      <c r="A38" t="s">
        <v>105</v>
      </c>
      <c r="B38" t="s">
        <v>58</v>
      </c>
      <c r="C38" t="s">
        <v>33</v>
      </c>
      <c r="D38" t="s">
        <v>59</v>
      </c>
      <c r="E38" t="s">
        <v>35</v>
      </c>
      <c r="F38" t="s">
        <v>28</v>
      </c>
      <c r="G38" t="s">
        <v>60</v>
      </c>
      <c r="H38" s="1">
        <v>46059</v>
      </c>
      <c r="I38" s="1">
        <v>46036</v>
      </c>
      <c r="J38" s="1">
        <v>46062</v>
      </c>
      <c r="K38" s="3">
        <v>2</v>
      </c>
      <c r="L38" s="3">
        <v>5</v>
      </c>
      <c r="M38" s="3">
        <v>9</v>
      </c>
      <c r="N38" t="s">
        <v>45</v>
      </c>
      <c r="O38">
        <f t="shared" si="1"/>
        <v>4</v>
      </c>
      <c r="P38" t="str">
        <f>IF(Calculation[[#This Row],[Completion Date]]=Calculation[[#This Row],[Progress %]],"In progress",IF(Calculation[[#This Row],[Completion Date]]&gt;Calculation[[#This Row],[Due Date]],"Delayed","Completed"))</f>
        <v>Delayed</v>
      </c>
      <c r="Q38" s="3">
        <f>IF(Calculation[[#This Row],[Task Status]]="Completed",100,IF(Calculation[[#This Row],[Task Status]]="In Progress",50,0))</f>
        <v>0</v>
      </c>
      <c r="R38" s="3" t="str">
        <f>IF(Calculation[[#This Row],[Completion Date]]&gt;Calculation[[#This Row],[Due Date]],"Yes","No")</f>
        <v>Yes</v>
      </c>
      <c r="S38" s="3">
        <f t="shared" si="2"/>
        <v>3</v>
      </c>
      <c r="T38" s="3" t="str">
        <f ca="1">IF(AND(Calculation[[#This Row],[Task Status]]&lt;&gt;"Completed",TODAY()&gt;Calculation[[#This Row],[Due Date]]),"Yes","No")</f>
        <v>Yes</v>
      </c>
    </row>
    <row r="39" spans="1:20" x14ac:dyDescent="0.3">
      <c r="A39" t="s">
        <v>106</v>
      </c>
      <c r="B39" t="s">
        <v>62</v>
      </c>
      <c r="C39" t="s">
        <v>40</v>
      </c>
      <c r="D39" t="s">
        <v>63</v>
      </c>
      <c r="E39" t="s">
        <v>64</v>
      </c>
      <c r="F39" t="s">
        <v>21</v>
      </c>
      <c r="G39" t="s">
        <v>65</v>
      </c>
      <c r="H39" s="1">
        <v>46060</v>
      </c>
      <c r="I39" s="1">
        <v>46035</v>
      </c>
      <c r="J39" s="1">
        <v>46063</v>
      </c>
      <c r="K39" s="3">
        <v>89</v>
      </c>
      <c r="L39" s="3">
        <v>8</v>
      </c>
      <c r="M39" s="3">
        <v>8</v>
      </c>
      <c r="N39" t="s">
        <v>52</v>
      </c>
      <c r="O39">
        <f t="shared" si="1"/>
        <v>0</v>
      </c>
      <c r="P39" t="str">
        <f>IF(Calculation[[#This Row],[Completion Date]]=Calculation[[#This Row],[Progress %]],"In progress",IF(Calculation[[#This Row],[Completion Date]]&gt;Calculation[[#This Row],[Due Date]],"Delayed","Completed"))</f>
        <v>Delayed</v>
      </c>
      <c r="Q39" s="3">
        <f>IF(Calculation[[#This Row],[Task Status]]="Completed",100,IF(Calculation[[#This Row],[Task Status]]="In Progress",50,0))</f>
        <v>0</v>
      </c>
      <c r="R39" s="3" t="str">
        <f>IF(Calculation[[#This Row],[Completion Date]]&gt;Calculation[[#This Row],[Due Date]],"Yes","No")</f>
        <v>Yes</v>
      </c>
      <c r="S39" s="3">
        <f t="shared" si="2"/>
        <v>3</v>
      </c>
      <c r="T39" s="3" t="str">
        <f ca="1">IF(AND(Calculation[[#This Row],[Task Status]]&lt;&gt;"Completed",TODAY()&gt;Calculation[[#This Row],[Due Date]]),"Yes","No")</f>
        <v>Yes</v>
      </c>
    </row>
    <row r="40" spans="1:20" x14ac:dyDescent="0.3">
      <c r="A40" t="s">
        <v>107</v>
      </c>
      <c r="B40" t="s">
        <v>67</v>
      </c>
      <c r="C40" t="s">
        <v>48</v>
      </c>
      <c r="D40" t="s">
        <v>68</v>
      </c>
      <c r="E40" t="s">
        <v>64</v>
      </c>
      <c r="F40" t="s">
        <v>21</v>
      </c>
      <c r="G40" t="s">
        <v>36</v>
      </c>
      <c r="H40" s="1">
        <v>46061</v>
      </c>
      <c r="I40" s="1">
        <v>46037</v>
      </c>
      <c r="J40" s="1">
        <v>46064</v>
      </c>
      <c r="K40" s="3">
        <v>77</v>
      </c>
      <c r="L40" s="3">
        <v>7.2766036336670297</v>
      </c>
      <c r="M40" s="3">
        <v>4.2092695587689999</v>
      </c>
      <c r="N40" t="s">
        <v>37</v>
      </c>
      <c r="O40">
        <f t="shared" si="1"/>
        <v>-3.0673340748980298</v>
      </c>
      <c r="P40" t="str">
        <f>IF(Calculation[[#This Row],[Completion Date]]=Calculation[[#This Row],[Progress %]],"In progress",IF(Calculation[[#This Row],[Completion Date]]&gt;Calculation[[#This Row],[Due Date]],"Delayed","Completed"))</f>
        <v>Delayed</v>
      </c>
      <c r="Q40" s="3">
        <f>IF(Calculation[[#This Row],[Task Status]]="Completed",100,IF(Calculation[[#This Row],[Task Status]]="In Progress",50,0))</f>
        <v>0</v>
      </c>
      <c r="R40" s="3" t="str">
        <f>IF(Calculation[[#This Row],[Completion Date]]&gt;Calculation[[#This Row],[Due Date]],"Yes","No")</f>
        <v>Yes</v>
      </c>
      <c r="S40" s="3">
        <f t="shared" si="2"/>
        <v>3</v>
      </c>
      <c r="T40" s="3" t="str">
        <f ca="1">IF(AND(Calculation[[#This Row],[Task Status]]&lt;&gt;"Completed",TODAY()&gt;Calculation[[#This Row],[Due Date]]),"Yes","No")</f>
        <v>Yes</v>
      </c>
    </row>
    <row r="41" spans="1:20" x14ac:dyDescent="0.3">
      <c r="A41" t="s">
        <v>108</v>
      </c>
      <c r="B41" t="s">
        <v>17</v>
      </c>
      <c r="C41" t="s">
        <v>18</v>
      </c>
      <c r="D41" t="s">
        <v>19</v>
      </c>
      <c r="E41" t="s">
        <v>20</v>
      </c>
      <c r="F41" t="s">
        <v>28</v>
      </c>
      <c r="G41" t="s">
        <v>70</v>
      </c>
      <c r="H41" s="1">
        <v>46062</v>
      </c>
      <c r="I41" s="1">
        <v>46038</v>
      </c>
      <c r="J41" s="1">
        <v>46065</v>
      </c>
      <c r="K41" s="3">
        <v>6</v>
      </c>
      <c r="L41" s="3">
        <v>2</v>
      </c>
      <c r="M41" s="3">
        <v>4.1727845754541999</v>
      </c>
      <c r="N41" t="s">
        <v>37</v>
      </c>
      <c r="O41">
        <f t="shared" si="1"/>
        <v>2.1727845754541999</v>
      </c>
      <c r="P41" t="str">
        <f>IF(Calculation[[#This Row],[Completion Date]]=Calculation[[#This Row],[Progress %]],"In progress",IF(Calculation[[#This Row],[Completion Date]]&gt;Calculation[[#This Row],[Due Date]],"Delayed","Completed"))</f>
        <v>Delayed</v>
      </c>
      <c r="Q41" s="3">
        <f>IF(Calculation[[#This Row],[Task Status]]="Completed",100,IF(Calculation[[#This Row],[Task Status]]="In Progress",50,0))</f>
        <v>0</v>
      </c>
      <c r="R41" s="3" t="str">
        <f>IF(Calculation[[#This Row],[Completion Date]]&gt;Calculation[[#This Row],[Due Date]],"Yes","No")</f>
        <v>Yes</v>
      </c>
      <c r="S41" s="3">
        <f t="shared" si="2"/>
        <v>3</v>
      </c>
      <c r="T41" s="3" t="str">
        <f ca="1">IF(AND(Calculation[[#This Row],[Task Status]]&lt;&gt;"Completed",TODAY()&gt;Calculation[[#This Row],[Due Date]]),"Yes","No")</f>
        <v>Yes</v>
      </c>
    </row>
    <row r="42" spans="1:20" x14ac:dyDescent="0.3">
      <c r="A42" t="s">
        <v>109</v>
      </c>
      <c r="B42" t="s">
        <v>17</v>
      </c>
      <c r="C42" t="s">
        <v>18</v>
      </c>
      <c r="D42" t="s">
        <v>26</v>
      </c>
      <c r="E42" t="s">
        <v>27</v>
      </c>
      <c r="F42" t="s">
        <v>43</v>
      </c>
      <c r="G42" t="s">
        <v>29</v>
      </c>
      <c r="H42" s="1">
        <v>46063</v>
      </c>
      <c r="I42" s="1">
        <v>46039</v>
      </c>
      <c r="J42" s="1">
        <v>46066</v>
      </c>
      <c r="K42" s="3">
        <v>44</v>
      </c>
      <c r="L42" s="3">
        <v>3</v>
      </c>
      <c r="M42" s="3">
        <v>5</v>
      </c>
      <c r="N42" t="s">
        <v>45</v>
      </c>
      <c r="O42">
        <f t="shared" si="1"/>
        <v>2</v>
      </c>
      <c r="P42" t="str">
        <f>IF(Calculation[[#This Row],[Completion Date]]=Calculation[[#This Row],[Progress %]],"In progress",IF(Calculation[[#This Row],[Completion Date]]&gt;Calculation[[#This Row],[Due Date]],"Delayed","Completed"))</f>
        <v>Delayed</v>
      </c>
      <c r="Q42" s="3">
        <f>IF(Calculation[[#This Row],[Task Status]]="Completed",100,IF(Calculation[[#This Row],[Task Status]]="In Progress",50,0))</f>
        <v>0</v>
      </c>
      <c r="R42" s="3" t="str">
        <f>IF(Calculation[[#This Row],[Completion Date]]&gt;Calculation[[#This Row],[Due Date]],"Yes","No")</f>
        <v>Yes</v>
      </c>
      <c r="S42" s="3">
        <f t="shared" si="2"/>
        <v>3</v>
      </c>
      <c r="T42" s="3" t="str">
        <f ca="1">IF(AND(Calculation[[#This Row],[Task Status]]&lt;&gt;"Completed",TODAY()&gt;Calculation[[#This Row],[Due Date]]),"Yes","No")</f>
        <v>Yes</v>
      </c>
    </row>
    <row r="43" spans="1:20" x14ac:dyDescent="0.3">
      <c r="A43" t="s">
        <v>110</v>
      </c>
      <c r="B43" t="s">
        <v>32</v>
      </c>
      <c r="C43" t="s">
        <v>33</v>
      </c>
      <c r="D43" t="s">
        <v>34</v>
      </c>
      <c r="E43" t="s">
        <v>35</v>
      </c>
      <c r="F43" t="s">
        <v>21</v>
      </c>
      <c r="G43" t="s">
        <v>73</v>
      </c>
      <c r="H43" s="1">
        <v>46064</v>
      </c>
      <c r="I43" s="1">
        <v>46040</v>
      </c>
      <c r="J43" s="1">
        <v>46067</v>
      </c>
      <c r="K43" s="3">
        <v>2</v>
      </c>
      <c r="L43" s="3">
        <v>5</v>
      </c>
      <c r="M43" s="3">
        <v>2</v>
      </c>
      <c r="N43" t="s">
        <v>52</v>
      </c>
      <c r="O43">
        <f t="shared" si="1"/>
        <v>-3</v>
      </c>
      <c r="P43" t="str">
        <f>IF(Calculation[[#This Row],[Completion Date]]=Calculation[[#This Row],[Progress %]],"In progress",IF(Calculation[[#This Row],[Completion Date]]&gt;Calculation[[#This Row],[Due Date]],"Delayed","Completed"))</f>
        <v>Delayed</v>
      </c>
      <c r="Q43" s="3">
        <f>IF(Calculation[[#This Row],[Task Status]]="Completed",100,IF(Calculation[[#This Row],[Task Status]]="In Progress",50,0))</f>
        <v>0</v>
      </c>
      <c r="R43" s="3" t="str">
        <f>IF(Calculation[[#This Row],[Completion Date]]&gt;Calculation[[#This Row],[Due Date]],"Yes","No")</f>
        <v>Yes</v>
      </c>
      <c r="S43" s="3">
        <f t="shared" si="2"/>
        <v>3</v>
      </c>
      <c r="T43" s="3" t="str">
        <f ca="1">IF(AND(Calculation[[#This Row],[Task Status]]&lt;&gt;"Completed",TODAY()&gt;Calculation[[#This Row],[Due Date]]),"Yes","No")</f>
        <v>Yes</v>
      </c>
    </row>
    <row r="44" spans="1:20" x14ac:dyDescent="0.3">
      <c r="A44" t="s">
        <v>111</v>
      </c>
      <c r="B44" t="s">
        <v>39</v>
      </c>
      <c r="C44" t="s">
        <v>40</v>
      </c>
      <c r="D44" t="s">
        <v>41</v>
      </c>
      <c r="E44" t="s">
        <v>42</v>
      </c>
      <c r="F44" t="s">
        <v>28</v>
      </c>
      <c r="G44" t="s">
        <v>75</v>
      </c>
      <c r="H44" s="1">
        <v>46065</v>
      </c>
      <c r="I44" s="1">
        <v>46041</v>
      </c>
      <c r="J44" s="1">
        <v>46068</v>
      </c>
      <c r="K44" s="3">
        <v>12</v>
      </c>
      <c r="L44" s="3">
        <v>7.1137560252131999</v>
      </c>
      <c r="M44" s="3">
        <v>0</v>
      </c>
      <c r="N44" t="s">
        <v>37</v>
      </c>
      <c r="O44">
        <f t="shared" si="1"/>
        <v>-7.1137560252131999</v>
      </c>
      <c r="P44" t="str">
        <f>IF(Calculation[[#This Row],[Completion Date]]=Calculation[[#This Row],[Progress %]],"In progress",IF(Calculation[[#This Row],[Completion Date]]&gt;Calculation[[#This Row],[Due Date]],"Delayed","Completed"))</f>
        <v>Delayed</v>
      </c>
      <c r="Q44" s="3">
        <f>IF(Calculation[[#This Row],[Task Status]]="Completed",100,IF(Calculation[[#This Row],[Task Status]]="In Progress",50,0))</f>
        <v>0</v>
      </c>
      <c r="R44" s="3" t="str">
        <f>IF(Calculation[[#This Row],[Completion Date]]&gt;Calculation[[#This Row],[Due Date]],"Yes","No")</f>
        <v>Yes</v>
      </c>
      <c r="S44" s="3">
        <f t="shared" si="2"/>
        <v>3</v>
      </c>
      <c r="T44" s="3" t="str">
        <f ca="1">IF(AND(Calculation[[#This Row],[Task Status]]&lt;&gt;"Completed",TODAY()&gt;Calculation[[#This Row],[Due Date]]),"Yes","No")</f>
        <v>Yes</v>
      </c>
    </row>
    <row r="45" spans="1:20" x14ac:dyDescent="0.3">
      <c r="A45" t="s">
        <v>112</v>
      </c>
      <c r="B45" t="s">
        <v>47</v>
      </c>
      <c r="C45" t="s">
        <v>48</v>
      </c>
      <c r="D45" t="s">
        <v>49</v>
      </c>
      <c r="E45" t="s">
        <v>50</v>
      </c>
      <c r="F45" t="s">
        <v>43</v>
      </c>
      <c r="G45" t="s">
        <v>77</v>
      </c>
      <c r="H45" s="1">
        <v>46066</v>
      </c>
      <c r="I45" s="1">
        <v>46042</v>
      </c>
      <c r="J45" s="1">
        <v>46069</v>
      </c>
      <c r="K45" s="3">
        <v>15</v>
      </c>
      <c r="L45" s="3">
        <v>8</v>
      </c>
      <c r="M45" s="3">
        <v>4.0268446421950301</v>
      </c>
      <c r="N45" t="s">
        <v>45</v>
      </c>
      <c r="O45">
        <f t="shared" si="1"/>
        <v>-3.9731553578049699</v>
      </c>
      <c r="P45" t="str">
        <f>IF(Calculation[[#This Row],[Completion Date]]=Calculation[[#This Row],[Progress %]],"In progress",IF(Calculation[[#This Row],[Completion Date]]&gt;Calculation[[#This Row],[Due Date]],"Delayed","Completed"))</f>
        <v>Delayed</v>
      </c>
      <c r="Q45" s="3">
        <f>IF(Calculation[[#This Row],[Task Status]]="Completed",100,IF(Calculation[[#This Row],[Task Status]]="In Progress",50,0))</f>
        <v>0</v>
      </c>
      <c r="R45" s="3" t="str">
        <f>IF(Calculation[[#This Row],[Completion Date]]&gt;Calculation[[#This Row],[Due Date]],"Yes","No")</f>
        <v>Yes</v>
      </c>
      <c r="S45" s="3">
        <f t="shared" si="2"/>
        <v>3</v>
      </c>
      <c r="T45" s="3" t="str">
        <f ca="1">IF(AND(Calculation[[#This Row],[Task Status]]&lt;&gt;"Completed",TODAY()&gt;Calculation[[#This Row],[Due Date]]),"Yes","No")</f>
        <v>Yes</v>
      </c>
    </row>
    <row r="46" spans="1:20" x14ac:dyDescent="0.3">
      <c r="A46" t="s">
        <v>113</v>
      </c>
      <c r="B46" t="s">
        <v>54</v>
      </c>
      <c r="C46" t="s">
        <v>18</v>
      </c>
      <c r="D46" t="s">
        <v>55</v>
      </c>
      <c r="E46" t="s">
        <v>20</v>
      </c>
      <c r="F46" t="s">
        <v>21</v>
      </c>
      <c r="G46" t="s">
        <v>29</v>
      </c>
      <c r="H46" s="1">
        <v>46067</v>
      </c>
      <c r="I46" s="1">
        <v>46043</v>
      </c>
      <c r="J46" s="1">
        <v>46070</v>
      </c>
      <c r="K46" s="3">
        <v>49.704857248795001</v>
      </c>
      <c r="L46" s="3">
        <v>9</v>
      </c>
      <c r="M46" s="3">
        <v>12</v>
      </c>
      <c r="N46" t="s">
        <v>30</v>
      </c>
      <c r="O46">
        <f t="shared" si="1"/>
        <v>3</v>
      </c>
      <c r="P46" t="str">
        <f>IF(Calculation[[#This Row],[Completion Date]]=Calculation[[#This Row],[Progress %]],"In progress",IF(Calculation[[#This Row],[Completion Date]]&gt;Calculation[[#This Row],[Due Date]],"Delayed","Completed"))</f>
        <v>Delayed</v>
      </c>
      <c r="Q46" s="3">
        <f>IF(Calculation[[#This Row],[Task Status]]="Completed",100,IF(Calculation[[#This Row],[Task Status]]="In Progress",50,0))</f>
        <v>0</v>
      </c>
      <c r="R46" s="3" t="str">
        <f>IF(Calculation[[#This Row],[Completion Date]]&gt;Calculation[[#This Row],[Due Date]],"Yes","No")</f>
        <v>Yes</v>
      </c>
      <c r="S46" s="3">
        <f t="shared" si="2"/>
        <v>3</v>
      </c>
      <c r="T46" s="3" t="str">
        <f ca="1">IF(AND(Calculation[[#This Row],[Task Status]]&lt;&gt;"Completed",TODAY()&gt;Calculation[[#This Row],[Due Date]]),"Yes","No")</f>
        <v>Yes</v>
      </c>
    </row>
    <row r="47" spans="1:20" x14ac:dyDescent="0.3">
      <c r="A47" t="s">
        <v>114</v>
      </c>
      <c r="B47" t="s">
        <v>58</v>
      </c>
      <c r="C47" t="s">
        <v>33</v>
      </c>
      <c r="D47" t="s">
        <v>59</v>
      </c>
      <c r="E47" t="s">
        <v>35</v>
      </c>
      <c r="F47" t="s">
        <v>28</v>
      </c>
      <c r="G47" t="s">
        <v>80</v>
      </c>
      <c r="H47" s="1">
        <v>46068</v>
      </c>
      <c r="I47" s="1">
        <v>46044</v>
      </c>
      <c r="J47" s="1">
        <v>46071</v>
      </c>
      <c r="K47" s="3">
        <v>34</v>
      </c>
      <c r="L47" s="3">
        <v>6.9916203188728199</v>
      </c>
      <c r="M47" s="3">
        <v>14</v>
      </c>
      <c r="N47" t="s">
        <v>37</v>
      </c>
      <c r="O47">
        <f t="shared" si="1"/>
        <v>7.0083796811271801</v>
      </c>
      <c r="P47" t="str">
        <f>IF(Calculation[[#This Row],[Completion Date]]=Calculation[[#This Row],[Progress %]],"In progress",IF(Calculation[[#This Row],[Completion Date]]&gt;Calculation[[#This Row],[Due Date]],"Delayed","Completed"))</f>
        <v>Delayed</v>
      </c>
      <c r="Q47" s="3">
        <f>IF(Calculation[[#This Row],[Task Status]]="Completed",100,IF(Calculation[[#This Row],[Task Status]]="In Progress",50,0))</f>
        <v>0</v>
      </c>
      <c r="R47" s="3" t="str">
        <f>IF(Calculation[[#This Row],[Completion Date]]&gt;Calculation[[#This Row],[Due Date]],"Yes","No")</f>
        <v>Yes</v>
      </c>
      <c r="S47" s="3">
        <f t="shared" si="2"/>
        <v>3</v>
      </c>
      <c r="T47" s="3" t="str">
        <f ca="1">IF(AND(Calculation[[#This Row],[Task Status]]&lt;&gt;"Completed",TODAY()&gt;Calculation[[#This Row],[Due Date]]),"Yes","No")</f>
        <v>Yes</v>
      </c>
    </row>
    <row r="48" spans="1:20" x14ac:dyDescent="0.3">
      <c r="A48" t="s">
        <v>115</v>
      </c>
      <c r="B48" t="s">
        <v>62</v>
      </c>
      <c r="C48" t="s">
        <v>40</v>
      </c>
      <c r="D48" t="s">
        <v>63</v>
      </c>
      <c r="E48" t="s">
        <v>64</v>
      </c>
      <c r="F48" t="s">
        <v>21</v>
      </c>
      <c r="G48" t="s">
        <v>82</v>
      </c>
      <c r="H48" s="1">
        <v>46069</v>
      </c>
      <c r="I48" s="1">
        <v>46045</v>
      </c>
      <c r="J48" s="1">
        <v>46072</v>
      </c>
      <c r="K48" s="3">
        <v>49.255469039673798</v>
      </c>
      <c r="L48" s="3">
        <v>3</v>
      </c>
      <c r="M48" s="3">
        <v>2</v>
      </c>
      <c r="N48" t="s">
        <v>52</v>
      </c>
      <c r="O48">
        <f t="shared" si="1"/>
        <v>-1</v>
      </c>
      <c r="P48" t="str">
        <f>IF(Calculation[[#This Row],[Completion Date]]=Calculation[[#This Row],[Progress %]],"In progress",IF(Calculation[[#This Row],[Completion Date]]&gt;Calculation[[#This Row],[Due Date]],"Delayed","Completed"))</f>
        <v>Delayed</v>
      </c>
      <c r="Q48" s="3">
        <f>IF(Calculation[[#This Row],[Task Status]]="Completed",100,IF(Calculation[[#This Row],[Task Status]]="In Progress",50,0))</f>
        <v>0</v>
      </c>
      <c r="R48" s="3" t="str">
        <f>IF(Calculation[[#This Row],[Completion Date]]&gt;Calculation[[#This Row],[Due Date]],"Yes","No")</f>
        <v>Yes</v>
      </c>
      <c r="S48" s="3">
        <f t="shared" si="2"/>
        <v>3</v>
      </c>
      <c r="T48" s="3" t="str">
        <f ca="1">IF(AND(Calculation[[#This Row],[Task Status]]&lt;&gt;"Completed",TODAY()&gt;Calculation[[#This Row],[Due Date]]),"Yes","No")</f>
        <v>Yes</v>
      </c>
    </row>
    <row r="49" spans="1:20" x14ac:dyDescent="0.3">
      <c r="A49" t="s">
        <v>116</v>
      </c>
      <c r="B49" t="s">
        <v>67</v>
      </c>
      <c r="C49" t="s">
        <v>48</v>
      </c>
      <c r="D49" t="s">
        <v>68</v>
      </c>
      <c r="E49" t="s">
        <v>64</v>
      </c>
      <c r="F49" t="s">
        <v>28</v>
      </c>
      <c r="G49" t="s">
        <v>73</v>
      </c>
      <c r="H49" s="1">
        <v>46070</v>
      </c>
      <c r="I49" s="1">
        <v>46046</v>
      </c>
      <c r="J49" s="1">
        <v>46073</v>
      </c>
      <c r="K49" s="3">
        <v>67</v>
      </c>
      <c r="L49" s="3">
        <v>10</v>
      </c>
      <c r="M49" s="3">
        <v>5</v>
      </c>
      <c r="N49" t="s">
        <v>37</v>
      </c>
      <c r="O49">
        <f t="shared" si="1"/>
        <v>-5</v>
      </c>
      <c r="P49" t="str">
        <f>IF(Calculation[[#This Row],[Completion Date]]=Calculation[[#This Row],[Progress %]],"In progress",IF(Calculation[[#This Row],[Completion Date]]&gt;Calculation[[#This Row],[Due Date]],"Delayed","Completed"))</f>
        <v>Delayed</v>
      </c>
      <c r="Q49" s="3">
        <f>IF(Calculation[[#This Row],[Task Status]]="Completed",100,IF(Calculation[[#This Row],[Task Status]]="In Progress",50,0))</f>
        <v>0</v>
      </c>
      <c r="R49" s="3" t="str">
        <f>IF(Calculation[[#This Row],[Completion Date]]&gt;Calculation[[#This Row],[Due Date]],"Yes","No")</f>
        <v>Yes</v>
      </c>
      <c r="S49" s="3">
        <f t="shared" si="2"/>
        <v>3</v>
      </c>
      <c r="T49" s="3" t="str">
        <f ca="1">IF(AND(Calculation[[#This Row],[Task Status]]&lt;&gt;"Completed",TODAY()&gt;Calculation[[#This Row],[Due Date]]),"Yes","No")</f>
        <v>Yes</v>
      </c>
    </row>
    <row r="50" spans="1:20" x14ac:dyDescent="0.3">
      <c r="A50" t="s">
        <v>117</v>
      </c>
      <c r="B50" t="s">
        <v>17</v>
      </c>
      <c r="C50" t="s">
        <v>18</v>
      </c>
      <c r="D50" t="s">
        <v>19</v>
      </c>
      <c r="E50" t="s">
        <v>20</v>
      </c>
      <c r="F50" t="s">
        <v>21</v>
      </c>
      <c r="G50" t="s">
        <v>22</v>
      </c>
      <c r="H50" s="1">
        <v>46071</v>
      </c>
      <c r="I50" s="1">
        <v>46047</v>
      </c>
      <c r="J50" s="1">
        <v>46074</v>
      </c>
      <c r="K50" s="3">
        <v>4</v>
      </c>
      <c r="L50" s="3">
        <v>15</v>
      </c>
      <c r="M50" s="3">
        <v>8</v>
      </c>
      <c r="N50" t="s">
        <v>37</v>
      </c>
      <c r="O50">
        <f t="shared" si="1"/>
        <v>-7</v>
      </c>
      <c r="P50" t="str">
        <f>IF(Calculation[[#This Row],[Completion Date]]=Calculation[[#This Row],[Progress %]],"In progress",IF(Calculation[[#This Row],[Completion Date]]&gt;Calculation[[#This Row],[Due Date]],"Delayed","Completed"))</f>
        <v>Delayed</v>
      </c>
      <c r="Q50" s="3">
        <f>IF(Calculation[[#This Row],[Task Status]]="Completed",100,IF(Calculation[[#This Row],[Task Status]]="In Progress",50,0))</f>
        <v>0</v>
      </c>
      <c r="R50" s="3" t="str">
        <f>IF(Calculation[[#This Row],[Completion Date]]&gt;Calculation[[#This Row],[Due Date]],"Yes","No")</f>
        <v>Yes</v>
      </c>
      <c r="S50" s="3">
        <f t="shared" si="2"/>
        <v>3</v>
      </c>
      <c r="T50" s="3" t="str">
        <f ca="1">IF(AND(Calculation[[#This Row],[Task Status]]&lt;&gt;"Completed",TODAY()&gt;Calculation[[#This Row],[Due Date]]),"Yes","No")</f>
        <v>Yes</v>
      </c>
    </row>
    <row r="51" spans="1:20" x14ac:dyDescent="0.3">
      <c r="A51" t="s">
        <v>118</v>
      </c>
      <c r="B51" t="s">
        <v>17</v>
      </c>
      <c r="C51" t="s">
        <v>18</v>
      </c>
      <c r="D51" t="s">
        <v>26</v>
      </c>
      <c r="E51" t="s">
        <v>27</v>
      </c>
      <c r="F51" t="s">
        <v>28</v>
      </c>
      <c r="G51" t="s">
        <v>29</v>
      </c>
      <c r="H51" s="1">
        <v>46072</v>
      </c>
      <c r="I51" s="1">
        <v>46048</v>
      </c>
      <c r="J51" s="1">
        <v>46075</v>
      </c>
      <c r="K51" s="3">
        <v>77</v>
      </c>
      <c r="L51" s="3">
        <v>12</v>
      </c>
      <c r="M51" s="3">
        <v>9</v>
      </c>
      <c r="N51" t="s">
        <v>45</v>
      </c>
      <c r="O51">
        <f t="shared" si="1"/>
        <v>-3</v>
      </c>
      <c r="P51" t="str">
        <f>IF(Calculation[[#This Row],[Completion Date]]=Calculation[[#This Row],[Progress %]],"In progress",IF(Calculation[[#This Row],[Completion Date]]&gt;Calculation[[#This Row],[Due Date]],"Delayed","Completed"))</f>
        <v>Delayed</v>
      </c>
      <c r="Q51" s="3">
        <f>IF(Calculation[[#This Row],[Task Status]]="Completed",100,IF(Calculation[[#This Row],[Task Status]]="In Progress",50,0))</f>
        <v>0</v>
      </c>
      <c r="R51" s="3" t="str">
        <f>IF(Calculation[[#This Row],[Completion Date]]&gt;Calculation[[#This Row],[Due Date]],"Yes","No")</f>
        <v>Yes</v>
      </c>
      <c r="S51" s="3">
        <f t="shared" si="2"/>
        <v>3</v>
      </c>
      <c r="T51" s="3" t="str">
        <f ca="1">IF(AND(Calculation[[#This Row],[Task Status]]&lt;&gt;"Completed",TODAY()&gt;Calculation[[#This Row],[Due Date]]),"Yes","No")</f>
        <v>Yes</v>
      </c>
    </row>
    <row r="52" spans="1:20" x14ac:dyDescent="0.3">
      <c r="A52" t="s">
        <v>119</v>
      </c>
      <c r="B52" t="s">
        <v>32</v>
      </c>
      <c r="C52" t="s">
        <v>33</v>
      </c>
      <c r="D52" t="s">
        <v>34</v>
      </c>
      <c r="E52" t="s">
        <v>35</v>
      </c>
      <c r="F52" t="s">
        <v>21</v>
      </c>
      <c r="G52" t="s">
        <v>87</v>
      </c>
      <c r="H52" s="1">
        <v>46073</v>
      </c>
      <c r="I52" s="1">
        <v>46049</v>
      </c>
      <c r="J52" s="1">
        <v>46076</v>
      </c>
      <c r="K52" s="3">
        <v>87</v>
      </c>
      <c r="L52" s="3">
        <v>6.7880608083055201</v>
      </c>
      <c r="M52" s="3">
        <v>3.7714497589914702</v>
      </c>
      <c r="N52" t="s">
        <v>52</v>
      </c>
      <c r="O52">
        <f t="shared" si="1"/>
        <v>-3.0166110493140499</v>
      </c>
      <c r="P52" t="str">
        <f>IF(Calculation[[#This Row],[Completion Date]]=Calculation[[#This Row],[Progress %]],"In progress",IF(Calculation[[#This Row],[Completion Date]]&gt;Calculation[[#This Row],[Due Date]],"Delayed","Completed"))</f>
        <v>Delayed</v>
      </c>
      <c r="Q52" s="3">
        <f>IF(Calculation[[#This Row],[Task Status]]="Completed",100,IF(Calculation[[#This Row],[Task Status]]="In Progress",50,0))</f>
        <v>0</v>
      </c>
      <c r="R52" s="3" t="str">
        <f>IF(Calculation[[#This Row],[Completion Date]]&gt;Calculation[[#This Row],[Due Date]],"Yes","No")</f>
        <v>Yes</v>
      </c>
      <c r="S52" s="3">
        <f t="shared" si="2"/>
        <v>3</v>
      </c>
      <c r="T52" s="3" t="str">
        <f ca="1">IF(AND(Calculation[[#This Row],[Task Status]]&lt;&gt;"Completed",TODAY()&gt;Calculation[[#This Row],[Due Date]]),"Yes","No")</f>
        <v>Yes</v>
      </c>
    </row>
    <row r="53" spans="1:20" x14ac:dyDescent="0.3">
      <c r="A53" t="s">
        <v>120</v>
      </c>
      <c r="B53" t="s">
        <v>39</v>
      </c>
      <c r="C53" t="s">
        <v>40</v>
      </c>
      <c r="D53" t="s">
        <v>41</v>
      </c>
      <c r="E53" t="s">
        <v>42</v>
      </c>
      <c r="F53" t="s">
        <v>43</v>
      </c>
      <c r="G53" t="s">
        <v>89</v>
      </c>
      <c r="H53" s="1">
        <v>46074</v>
      </c>
      <c r="I53" s="1">
        <v>46050</v>
      </c>
      <c r="J53" s="1">
        <v>46077</v>
      </c>
      <c r="K53" s="3">
        <v>88</v>
      </c>
      <c r="L53" s="3">
        <v>6</v>
      </c>
      <c r="M53" s="3">
        <v>5</v>
      </c>
      <c r="N53" t="s">
        <v>37</v>
      </c>
      <c r="O53">
        <f t="shared" si="1"/>
        <v>-1</v>
      </c>
      <c r="P53" t="str">
        <f>IF(Calculation[[#This Row],[Completion Date]]=Calculation[[#This Row],[Progress %]],"In progress",IF(Calculation[[#This Row],[Completion Date]]&gt;Calculation[[#This Row],[Due Date]],"Delayed","Completed"))</f>
        <v>Delayed</v>
      </c>
      <c r="Q53" s="3">
        <f>IF(Calculation[[#This Row],[Task Status]]="Completed",100,IF(Calculation[[#This Row],[Task Status]]="In Progress",50,0))</f>
        <v>0</v>
      </c>
      <c r="R53" s="3" t="str">
        <f>IF(Calculation[[#This Row],[Completion Date]]&gt;Calculation[[#This Row],[Due Date]],"Yes","No")</f>
        <v>Yes</v>
      </c>
      <c r="S53" s="3">
        <f t="shared" si="2"/>
        <v>3</v>
      </c>
      <c r="T53" s="3" t="str">
        <f ca="1">IF(AND(Calculation[[#This Row],[Task Status]]&lt;&gt;"Completed",TODAY()&gt;Calculation[[#This Row],[Due Date]]),"Yes","No")</f>
        <v>Yes</v>
      </c>
    </row>
    <row r="54" spans="1:20" x14ac:dyDescent="0.3">
      <c r="A54" t="s">
        <v>121</v>
      </c>
      <c r="B54" t="s">
        <v>47</v>
      </c>
      <c r="C54" t="s">
        <v>48</v>
      </c>
      <c r="D54" t="s">
        <v>49</v>
      </c>
      <c r="E54" t="s">
        <v>50</v>
      </c>
      <c r="F54" t="s">
        <v>21</v>
      </c>
      <c r="G54" t="s">
        <v>51</v>
      </c>
      <c r="H54" s="1">
        <v>46075</v>
      </c>
      <c r="I54" s="1">
        <v>46051</v>
      </c>
      <c r="J54" s="1">
        <v>46078</v>
      </c>
      <c r="K54" s="3">
        <v>98</v>
      </c>
      <c r="L54" s="3">
        <v>8</v>
      </c>
      <c r="M54" s="3">
        <v>7</v>
      </c>
      <c r="N54" t="s">
        <v>30</v>
      </c>
      <c r="O54">
        <f t="shared" si="1"/>
        <v>-1</v>
      </c>
      <c r="P54" t="str">
        <f>IF(Calculation[[#This Row],[Completion Date]]=Calculation[[#This Row],[Progress %]],"In progress",IF(Calculation[[#This Row],[Completion Date]]&gt;Calculation[[#This Row],[Due Date]],"Delayed","Completed"))</f>
        <v>Delayed</v>
      </c>
      <c r="Q54" s="3">
        <f>IF(Calculation[[#This Row],[Task Status]]="Completed",100,IF(Calculation[[#This Row],[Task Status]]="In Progress",50,0))</f>
        <v>0</v>
      </c>
      <c r="R54" s="3" t="str">
        <f>IF(Calculation[[#This Row],[Completion Date]]&gt;Calculation[[#This Row],[Due Date]],"Yes","No")</f>
        <v>Yes</v>
      </c>
      <c r="S54" s="3">
        <f t="shared" si="2"/>
        <v>3</v>
      </c>
      <c r="T54" s="3" t="str">
        <f ca="1">IF(AND(Calculation[[#This Row],[Task Status]]&lt;&gt;"Completed",TODAY()&gt;Calculation[[#This Row],[Due Date]]),"Yes","No")</f>
        <v>Yes</v>
      </c>
    </row>
    <row r="55" spans="1:20" x14ac:dyDescent="0.3">
      <c r="A55" t="s">
        <v>122</v>
      </c>
      <c r="B55" t="s">
        <v>54</v>
      </c>
      <c r="C55" t="s">
        <v>18</v>
      </c>
      <c r="D55" t="s">
        <v>55</v>
      </c>
      <c r="E55" t="s">
        <v>20</v>
      </c>
      <c r="F55" t="s">
        <v>21</v>
      </c>
      <c r="G55" t="s">
        <v>29</v>
      </c>
      <c r="H55" s="1">
        <v>46076</v>
      </c>
      <c r="I55" s="1">
        <v>46052</v>
      </c>
      <c r="J55" s="1">
        <v>46079</v>
      </c>
      <c r="K55" s="3">
        <v>76</v>
      </c>
      <c r="L55" s="3">
        <v>9</v>
      </c>
      <c r="M55" s="3">
        <v>0</v>
      </c>
      <c r="N55" t="s">
        <v>37</v>
      </c>
      <c r="O55">
        <f t="shared" si="1"/>
        <v>-9</v>
      </c>
      <c r="P55" t="str">
        <f>IF(Calculation[[#This Row],[Completion Date]]=Calculation[[#This Row],[Progress %]],"In progress",IF(Calculation[[#This Row],[Completion Date]]&gt;Calculation[[#This Row],[Due Date]],"Delayed","Completed"))</f>
        <v>Delayed</v>
      </c>
      <c r="Q55" s="3">
        <f>IF(Calculation[[#This Row],[Task Status]]="Completed",100,IF(Calculation[[#This Row],[Task Status]]="In Progress",50,0))</f>
        <v>0</v>
      </c>
      <c r="R55" s="3" t="str">
        <f>IF(Calculation[[#This Row],[Completion Date]]&gt;Calculation[[#This Row],[Due Date]],"Yes","No")</f>
        <v>Yes</v>
      </c>
      <c r="S55" s="3">
        <f t="shared" si="2"/>
        <v>3</v>
      </c>
      <c r="T55" s="3" t="str">
        <f ca="1">IF(AND(Calculation[[#This Row],[Task Status]]&lt;&gt;"Completed",TODAY()&gt;Calculation[[#This Row],[Due Date]]),"Yes","No")</f>
        <v>Yes</v>
      </c>
    </row>
    <row r="56" spans="1:20" x14ac:dyDescent="0.3">
      <c r="A56" t="s">
        <v>123</v>
      </c>
      <c r="B56" t="s">
        <v>58</v>
      </c>
      <c r="C56" t="s">
        <v>33</v>
      </c>
      <c r="D56" t="s">
        <v>59</v>
      </c>
      <c r="E56" t="s">
        <v>35</v>
      </c>
      <c r="F56" t="s">
        <v>28</v>
      </c>
      <c r="G56" t="s">
        <v>77</v>
      </c>
      <c r="H56" s="1">
        <v>46077</v>
      </c>
      <c r="I56" s="1">
        <v>46053</v>
      </c>
      <c r="J56" s="1">
        <v>46080</v>
      </c>
      <c r="K56" s="3">
        <v>12</v>
      </c>
      <c r="L56" s="3">
        <v>20</v>
      </c>
      <c r="M56" s="3">
        <v>12</v>
      </c>
      <c r="N56" t="s">
        <v>45</v>
      </c>
      <c r="O56">
        <f t="shared" si="1"/>
        <v>-8</v>
      </c>
      <c r="P56" t="str">
        <f>IF(Calculation[[#This Row],[Completion Date]]=Calculation[[#This Row],[Progress %]],"In progress",IF(Calculation[[#This Row],[Completion Date]]&gt;Calculation[[#This Row],[Due Date]],"Delayed","Completed"))</f>
        <v>Delayed</v>
      </c>
      <c r="Q56" s="3">
        <f>IF(Calculation[[#This Row],[Task Status]]="Completed",100,IF(Calculation[[#This Row],[Task Status]]="In Progress",50,0))</f>
        <v>0</v>
      </c>
      <c r="R56" s="3" t="str">
        <f>IF(Calculation[[#This Row],[Completion Date]]&gt;Calculation[[#This Row],[Due Date]],"Yes","No")</f>
        <v>Yes</v>
      </c>
      <c r="S56" s="3">
        <f t="shared" si="2"/>
        <v>3</v>
      </c>
      <c r="T56" s="3" t="str">
        <f ca="1">IF(AND(Calculation[[#This Row],[Task Status]]&lt;&gt;"Completed",TODAY()&gt;Calculation[[#This Row],[Due Date]]),"Yes","No")</f>
        <v>Yes</v>
      </c>
    </row>
    <row r="57" spans="1:20" x14ac:dyDescent="0.3">
      <c r="A57" t="s">
        <v>124</v>
      </c>
      <c r="B57" t="s">
        <v>62</v>
      </c>
      <c r="C57" t="s">
        <v>40</v>
      </c>
      <c r="D57" t="s">
        <v>63</v>
      </c>
      <c r="E57" t="s">
        <v>64</v>
      </c>
      <c r="F57" t="s">
        <v>21</v>
      </c>
      <c r="G57" t="s">
        <v>94</v>
      </c>
      <c r="H57" s="1">
        <v>46078</v>
      </c>
      <c r="I57" s="1">
        <v>46054</v>
      </c>
      <c r="J57" s="1">
        <v>46081</v>
      </c>
      <c r="K57" s="3">
        <v>47.233222098628197</v>
      </c>
      <c r="L57" s="3">
        <v>12</v>
      </c>
      <c r="M57" s="3">
        <v>12</v>
      </c>
      <c r="N57" t="s">
        <v>52</v>
      </c>
      <c r="O57">
        <f t="shared" si="1"/>
        <v>0</v>
      </c>
      <c r="P57" t="str">
        <f>IF(Calculation[[#This Row],[Completion Date]]=Calculation[[#This Row],[Progress %]],"In progress",IF(Calculation[[#This Row],[Completion Date]]&gt;Calculation[[#This Row],[Due Date]],"Delayed","Completed"))</f>
        <v>Delayed</v>
      </c>
      <c r="Q57" s="3">
        <f>IF(Calculation[[#This Row],[Task Status]]="Completed",100,IF(Calculation[[#This Row],[Task Status]]="In Progress",50,0))</f>
        <v>0</v>
      </c>
      <c r="R57" s="3" t="str">
        <f>IF(Calculation[[#This Row],[Completion Date]]&gt;Calculation[[#This Row],[Due Date]],"Yes","No")</f>
        <v>Yes</v>
      </c>
      <c r="S57" s="3">
        <f t="shared" si="2"/>
        <v>3</v>
      </c>
      <c r="T57" s="3" t="str">
        <f ca="1">IF(AND(Calculation[[#This Row],[Task Status]]&lt;&gt;"Completed",TODAY()&gt;Calculation[[#This Row],[Due Date]]),"Yes","No")</f>
        <v>Yes</v>
      </c>
    </row>
    <row r="58" spans="1:20" x14ac:dyDescent="0.3">
      <c r="A58" t="s">
        <v>125</v>
      </c>
      <c r="B58" t="s">
        <v>67</v>
      </c>
      <c r="C58" t="s">
        <v>48</v>
      </c>
      <c r="D58" t="s">
        <v>68</v>
      </c>
      <c r="E58" t="s">
        <v>64</v>
      </c>
      <c r="F58" t="s">
        <v>28</v>
      </c>
      <c r="G58" t="s">
        <v>73</v>
      </c>
      <c r="H58" s="1">
        <v>46079</v>
      </c>
      <c r="I58" s="1">
        <v>46055</v>
      </c>
      <c r="J58" s="1">
        <v>46082</v>
      </c>
      <c r="K58" s="3">
        <v>14</v>
      </c>
      <c r="L58" s="3">
        <v>13</v>
      </c>
      <c r="M58" s="3">
        <v>3</v>
      </c>
      <c r="N58" t="s">
        <v>37</v>
      </c>
      <c r="O58">
        <f t="shared" si="1"/>
        <v>-10</v>
      </c>
      <c r="P58" t="str">
        <f>IF(Calculation[[#This Row],[Completion Date]]=Calculation[[#This Row],[Progress %]],"In progress",IF(Calculation[[#This Row],[Completion Date]]&gt;Calculation[[#This Row],[Due Date]],"Delayed","Completed"))</f>
        <v>Delayed</v>
      </c>
      <c r="Q58" s="3">
        <f>IF(Calculation[[#This Row],[Task Status]]="Completed",100,IF(Calculation[[#This Row],[Task Status]]="In Progress",50,0))</f>
        <v>0</v>
      </c>
      <c r="R58" s="3" t="str">
        <f>IF(Calculation[[#This Row],[Completion Date]]&gt;Calculation[[#This Row],[Due Date]],"Yes","No")</f>
        <v>Yes</v>
      </c>
      <c r="S58" s="3">
        <f t="shared" si="2"/>
        <v>3</v>
      </c>
      <c r="T58" s="3" t="str">
        <f ca="1">IF(AND(Calculation[[#This Row],[Task Status]]&lt;&gt;"Completed",TODAY()&gt;Calculation[[#This Row],[Due Date]]),"Yes","No")</f>
        <v>Yes</v>
      </c>
    </row>
    <row r="59" spans="1:20" x14ac:dyDescent="0.3">
      <c r="A59" t="s">
        <v>126</v>
      </c>
      <c r="B59" t="s">
        <v>17</v>
      </c>
      <c r="C59" t="s">
        <v>18</v>
      </c>
      <c r="D59" t="s">
        <v>19</v>
      </c>
      <c r="E59" t="s">
        <v>20</v>
      </c>
      <c r="F59" t="s">
        <v>43</v>
      </c>
      <c r="G59" t="s">
        <v>70</v>
      </c>
      <c r="H59" s="1">
        <v>46080</v>
      </c>
      <c r="I59" s="1">
        <v>46056</v>
      </c>
      <c r="J59" s="1">
        <v>46083</v>
      </c>
      <c r="K59" s="3">
        <v>46.783833889506901</v>
      </c>
      <c r="L59" s="3">
        <v>14</v>
      </c>
      <c r="M59" s="3">
        <v>4</v>
      </c>
      <c r="N59" t="s">
        <v>45</v>
      </c>
      <c r="O59">
        <f t="shared" si="1"/>
        <v>-10</v>
      </c>
      <c r="P59" t="str">
        <f>IF(Calculation[[#This Row],[Completion Date]]=Calculation[[#This Row],[Progress %]],"In progress",IF(Calculation[[#This Row],[Completion Date]]&gt;Calculation[[#This Row],[Due Date]],"Delayed","Completed"))</f>
        <v>Delayed</v>
      </c>
      <c r="Q59" s="3">
        <f>IF(Calculation[[#This Row],[Task Status]]="Completed",100,IF(Calculation[[#This Row],[Task Status]]="In Progress",50,0))</f>
        <v>0</v>
      </c>
      <c r="R59" s="3" t="str">
        <f>IF(Calculation[[#This Row],[Completion Date]]&gt;Calculation[[#This Row],[Due Date]],"Yes","No")</f>
        <v>Yes</v>
      </c>
      <c r="S59" s="3">
        <f t="shared" si="2"/>
        <v>3</v>
      </c>
      <c r="T59" s="3" t="str">
        <f ca="1">IF(AND(Calculation[[#This Row],[Task Status]]&lt;&gt;"Completed",TODAY()&gt;Calculation[[#This Row],[Due Date]]),"Yes","No")</f>
        <v>Yes</v>
      </c>
    </row>
    <row r="60" spans="1:20" x14ac:dyDescent="0.3">
      <c r="A60" t="s">
        <v>127</v>
      </c>
      <c r="B60" t="s">
        <v>17</v>
      </c>
      <c r="C60" t="s">
        <v>18</v>
      </c>
      <c r="D60" t="s">
        <v>26</v>
      </c>
      <c r="E60" t="s">
        <v>27</v>
      </c>
      <c r="F60" t="s">
        <v>21</v>
      </c>
      <c r="G60" t="s">
        <v>29</v>
      </c>
      <c r="H60" s="1">
        <v>46081</v>
      </c>
      <c r="I60" s="1">
        <v>46057</v>
      </c>
      <c r="J60" s="1">
        <v>46084</v>
      </c>
      <c r="K60" s="3">
        <v>15</v>
      </c>
      <c r="L60" s="3">
        <v>15</v>
      </c>
      <c r="M60" s="3">
        <v>3.4795698924731102</v>
      </c>
      <c r="N60" t="s">
        <v>37</v>
      </c>
      <c r="O60">
        <f t="shared" si="1"/>
        <v>-11.52043010752689</v>
      </c>
      <c r="P60" t="str">
        <f>IF(Calculation[[#This Row],[Completion Date]]=Calculation[[#This Row],[Progress %]],"In progress",IF(Calculation[[#This Row],[Completion Date]]&gt;Calculation[[#This Row],[Due Date]],"Delayed","Completed"))</f>
        <v>Delayed</v>
      </c>
      <c r="Q60" s="3">
        <f>IF(Calculation[[#This Row],[Task Status]]="Completed",100,IF(Calculation[[#This Row],[Task Status]]="In Progress",50,0))</f>
        <v>0</v>
      </c>
      <c r="R60" s="3" t="str">
        <f>IF(Calculation[[#This Row],[Completion Date]]&gt;Calculation[[#This Row],[Due Date]],"Yes","No")</f>
        <v>Yes</v>
      </c>
      <c r="S60" s="3">
        <f t="shared" si="2"/>
        <v>3</v>
      </c>
      <c r="T60" s="3" t="str">
        <f ca="1">IF(AND(Calculation[[#This Row],[Task Status]]&lt;&gt;"Completed",TODAY()&gt;Calculation[[#This Row],[Due Date]]),"Yes","No")</f>
        <v>Yes</v>
      </c>
    </row>
    <row r="61" spans="1:20" x14ac:dyDescent="0.3">
      <c r="A61" t="s">
        <v>128</v>
      </c>
      <c r="B61" t="s">
        <v>32</v>
      </c>
      <c r="C61" t="s">
        <v>33</v>
      </c>
      <c r="D61" t="s">
        <v>34</v>
      </c>
      <c r="E61" t="s">
        <v>35</v>
      </c>
      <c r="F61" t="s">
        <v>28</v>
      </c>
      <c r="G61" t="s">
        <v>36</v>
      </c>
      <c r="H61" s="1">
        <v>46082</v>
      </c>
      <c r="I61" s="1">
        <v>46058</v>
      </c>
      <c r="J61" s="1">
        <v>46085</v>
      </c>
      <c r="K61" s="3">
        <v>10</v>
      </c>
      <c r="L61" s="3">
        <v>6.4216536892843896</v>
      </c>
      <c r="M61" s="3">
        <v>6</v>
      </c>
      <c r="N61" t="s">
        <v>52</v>
      </c>
      <c r="O61">
        <f t="shared" si="1"/>
        <v>-0.42165368928438962</v>
      </c>
      <c r="P61" t="str">
        <f>IF(Calculation[[#This Row],[Completion Date]]=Calculation[[#This Row],[Progress %]],"In progress",IF(Calculation[[#This Row],[Completion Date]]&gt;Calculation[[#This Row],[Due Date]],"Delayed","Completed"))</f>
        <v>Delayed</v>
      </c>
      <c r="Q61" s="3">
        <f>IF(Calculation[[#This Row],[Task Status]]="Completed",100,IF(Calculation[[#This Row],[Task Status]]="In Progress",50,0))</f>
        <v>0</v>
      </c>
      <c r="R61" s="3" t="str">
        <f>IF(Calculation[[#This Row],[Completion Date]]&gt;Calculation[[#This Row],[Due Date]],"Yes","No")</f>
        <v>Yes</v>
      </c>
      <c r="S61" s="3">
        <f t="shared" si="2"/>
        <v>3</v>
      </c>
      <c r="T61" s="3" t="str">
        <f ca="1">IF(AND(Calculation[[#This Row],[Task Status]]&lt;&gt;"Completed",TODAY()&gt;Calculation[[#This Row],[Due Date]]),"Yes","No")</f>
        <v>Yes</v>
      </c>
    </row>
    <row r="62" spans="1:20" x14ac:dyDescent="0.3">
      <c r="A62" t="s">
        <v>129</v>
      </c>
      <c r="B62" t="s">
        <v>17</v>
      </c>
      <c r="C62" t="s">
        <v>18</v>
      </c>
      <c r="D62" t="s">
        <v>19</v>
      </c>
      <c r="E62" t="s">
        <v>20</v>
      </c>
      <c r="F62" t="s">
        <v>21</v>
      </c>
      <c r="G62" t="s">
        <v>22</v>
      </c>
      <c r="H62" s="1">
        <v>46083</v>
      </c>
      <c r="I62" s="1">
        <v>46027</v>
      </c>
      <c r="J62" s="1">
        <v>46086</v>
      </c>
      <c r="K62" s="3">
        <v>15</v>
      </c>
      <c r="L62" s="3">
        <v>7</v>
      </c>
      <c r="M62" s="3">
        <v>10</v>
      </c>
      <c r="N62" t="s">
        <v>24</v>
      </c>
      <c r="O62">
        <f t="shared" si="1"/>
        <v>3</v>
      </c>
      <c r="P62" t="str">
        <f>IF(Calculation[[#This Row],[Completion Date]]=Calculation[[#This Row],[Progress %]],"In progress",IF(Calculation[[#This Row],[Completion Date]]&gt;Calculation[[#This Row],[Due Date]],"Delayed","Completed"))</f>
        <v>Delayed</v>
      </c>
      <c r="Q62" s="3">
        <f>IF(Calculation[[#This Row],[Task Status]]="Completed",100,IF(Calculation[[#This Row],[Task Status]]="In Progress",50,0))</f>
        <v>0</v>
      </c>
      <c r="R62" s="3" t="str">
        <f>IF(Calculation[[#This Row],[Completion Date]]&gt;Calculation[[#This Row],[Due Date]],"Yes","No")</f>
        <v>Yes</v>
      </c>
      <c r="S62" s="3">
        <f t="shared" si="2"/>
        <v>3</v>
      </c>
      <c r="T62" s="3" t="str">
        <f ca="1">IF(AND(Calculation[[#This Row],[Task Status]]&lt;&gt;"Completed",TODAY()&gt;Calculation[[#This Row],[Due Date]]),"Yes","No")</f>
        <v>Yes</v>
      </c>
    </row>
    <row r="63" spans="1:20" x14ac:dyDescent="0.3">
      <c r="A63" t="s">
        <v>130</v>
      </c>
      <c r="B63" t="s">
        <v>17</v>
      </c>
      <c r="C63" t="s">
        <v>18</v>
      </c>
      <c r="D63" t="s">
        <v>26</v>
      </c>
      <c r="E63" t="s">
        <v>27</v>
      </c>
      <c r="F63" t="s">
        <v>28</v>
      </c>
      <c r="G63" t="s">
        <v>29</v>
      </c>
      <c r="H63" s="1">
        <v>46084</v>
      </c>
      <c r="I63" s="1">
        <v>46028</v>
      </c>
      <c r="J63" s="1">
        <v>46087</v>
      </c>
      <c r="K63" s="3">
        <v>45.885057471264403</v>
      </c>
      <c r="L63" s="3">
        <v>8</v>
      </c>
      <c r="M63" s="3">
        <v>11</v>
      </c>
      <c r="N63" t="s">
        <v>30</v>
      </c>
      <c r="O63">
        <f t="shared" si="1"/>
        <v>3</v>
      </c>
      <c r="P63" t="str">
        <f>IF(Calculation[[#This Row],[Completion Date]]=Calculation[[#This Row],[Progress %]],"In progress",IF(Calculation[[#This Row],[Completion Date]]&gt;Calculation[[#This Row],[Due Date]],"Delayed","Completed"))</f>
        <v>Delayed</v>
      </c>
      <c r="Q63" s="3">
        <f>IF(Calculation[[#This Row],[Task Status]]="Completed",100,IF(Calculation[[#This Row],[Task Status]]="In Progress",50,0))</f>
        <v>0</v>
      </c>
      <c r="R63" s="3" t="str">
        <f>IF(Calculation[[#This Row],[Completion Date]]&gt;Calculation[[#This Row],[Due Date]],"Yes","No")</f>
        <v>Yes</v>
      </c>
      <c r="S63" s="3">
        <f t="shared" si="2"/>
        <v>3</v>
      </c>
      <c r="T63" s="3" t="str">
        <f ca="1">IF(AND(Calculation[[#This Row],[Task Status]]&lt;&gt;"Completed",TODAY()&gt;Calculation[[#This Row],[Due Date]]),"Yes","No")</f>
        <v>Yes</v>
      </c>
    </row>
    <row r="64" spans="1:20" x14ac:dyDescent="0.3">
      <c r="A64" t="s">
        <v>131</v>
      </c>
      <c r="B64" t="s">
        <v>32</v>
      </c>
      <c r="C64" t="s">
        <v>33</v>
      </c>
      <c r="D64" t="s">
        <v>34</v>
      </c>
      <c r="E64" t="s">
        <v>35</v>
      </c>
      <c r="F64" t="s">
        <v>21</v>
      </c>
      <c r="G64" t="s">
        <v>36</v>
      </c>
      <c r="H64" s="1">
        <v>46085</v>
      </c>
      <c r="I64" s="1">
        <v>46030</v>
      </c>
      <c r="J64" s="1">
        <v>46088</v>
      </c>
      <c r="K64" s="3">
        <v>34</v>
      </c>
      <c r="L64" s="3">
        <v>9</v>
      </c>
      <c r="M64" s="3">
        <v>14</v>
      </c>
      <c r="N64" t="s">
        <v>37</v>
      </c>
      <c r="O64">
        <f t="shared" si="1"/>
        <v>5</v>
      </c>
      <c r="P64" t="str">
        <f>IF(Calculation[[#This Row],[Completion Date]]=Calculation[[#This Row],[Progress %]],"In progress",IF(Calculation[[#This Row],[Completion Date]]&gt;Calculation[[#This Row],[Due Date]],"Delayed","Completed"))</f>
        <v>Delayed</v>
      </c>
      <c r="Q64" s="3">
        <f>IF(Calculation[[#This Row],[Task Status]]="Completed",100,IF(Calculation[[#This Row],[Task Status]]="In Progress",50,0))</f>
        <v>0</v>
      </c>
      <c r="R64" s="3" t="str">
        <f>IF(Calculation[[#This Row],[Completion Date]]&gt;Calculation[[#This Row],[Due Date]],"Yes","No")</f>
        <v>Yes</v>
      </c>
      <c r="S64" s="3">
        <f t="shared" si="2"/>
        <v>3</v>
      </c>
      <c r="T64" s="3" t="str">
        <f ca="1">IF(AND(Calculation[[#This Row],[Task Status]]&lt;&gt;"Completed",TODAY()&gt;Calculation[[#This Row],[Due Date]]),"Yes","No")</f>
        <v>Yes</v>
      </c>
    </row>
    <row r="65" spans="1:20" x14ac:dyDescent="0.3">
      <c r="A65" t="s">
        <v>132</v>
      </c>
      <c r="B65" t="s">
        <v>39</v>
      </c>
      <c r="C65" t="s">
        <v>40</v>
      </c>
      <c r="D65" t="s">
        <v>41</v>
      </c>
      <c r="E65" t="s">
        <v>42</v>
      </c>
      <c r="F65" t="s">
        <v>43</v>
      </c>
      <c r="G65" t="s">
        <v>44</v>
      </c>
      <c r="H65" s="1">
        <v>46086</v>
      </c>
      <c r="I65" s="1">
        <v>46032</v>
      </c>
      <c r="J65" s="1">
        <v>46089</v>
      </c>
      <c r="K65" s="3">
        <v>43</v>
      </c>
      <c r="L65" s="3">
        <v>11</v>
      </c>
      <c r="M65" s="3">
        <v>16</v>
      </c>
      <c r="N65" t="s">
        <v>45</v>
      </c>
      <c r="O65">
        <f t="shared" si="1"/>
        <v>5</v>
      </c>
      <c r="P65" t="str">
        <f>IF(Calculation[[#This Row],[Completion Date]]=Calculation[[#This Row],[Progress %]],"In progress",IF(Calculation[[#This Row],[Completion Date]]&gt;Calculation[[#This Row],[Due Date]],"Delayed","Completed"))</f>
        <v>Delayed</v>
      </c>
      <c r="Q65" s="3">
        <f>IF(Calculation[[#This Row],[Task Status]]="Completed",100,IF(Calculation[[#This Row],[Task Status]]="In Progress",50,0))</f>
        <v>0</v>
      </c>
      <c r="R65" s="3" t="str">
        <f>IF(Calculation[[#This Row],[Completion Date]]&gt;Calculation[[#This Row],[Due Date]],"Yes","No")</f>
        <v>Yes</v>
      </c>
      <c r="S65" s="3">
        <f t="shared" si="2"/>
        <v>3</v>
      </c>
      <c r="T65" s="3" t="str">
        <f ca="1">IF(AND(Calculation[[#This Row],[Task Status]]&lt;&gt;"Completed",TODAY()&gt;Calculation[[#This Row],[Due Date]]),"Yes","No")</f>
        <v>Yes</v>
      </c>
    </row>
    <row r="66" spans="1:20" x14ac:dyDescent="0.3">
      <c r="A66" t="s">
        <v>133</v>
      </c>
      <c r="B66" t="s">
        <v>47</v>
      </c>
      <c r="C66" t="s">
        <v>48</v>
      </c>
      <c r="D66" t="s">
        <v>49</v>
      </c>
      <c r="E66" t="s">
        <v>50</v>
      </c>
      <c r="F66" t="s">
        <v>21</v>
      </c>
      <c r="G66" t="s">
        <v>51</v>
      </c>
      <c r="H66" s="1">
        <v>46087</v>
      </c>
      <c r="I66" s="1">
        <v>46031</v>
      </c>
      <c r="J66" s="1">
        <v>46090</v>
      </c>
      <c r="K66" s="3">
        <v>56</v>
      </c>
      <c r="L66" s="3">
        <v>12</v>
      </c>
      <c r="M66" s="3">
        <v>3.2606599925843498</v>
      </c>
      <c r="N66" t="s">
        <v>52</v>
      </c>
      <c r="O66">
        <f t="shared" si="1"/>
        <v>-8.7393400074156506</v>
      </c>
      <c r="P66" t="str">
        <f>IF(Calculation[[#This Row],[Completion Date]]=Calculation[[#This Row],[Progress %]],"In progress",IF(Calculation[[#This Row],[Completion Date]]&gt;Calculation[[#This Row],[Due Date]],"Delayed","Completed"))</f>
        <v>Delayed</v>
      </c>
      <c r="Q66" s="3">
        <f>IF(Calculation[[#This Row],[Task Status]]="Completed",100,IF(Calculation[[#This Row],[Task Status]]="In Progress",50,0))</f>
        <v>0</v>
      </c>
      <c r="R66" s="3" t="str">
        <f>IF(Calculation[[#This Row],[Completion Date]]&gt;Calculation[[#This Row],[Due Date]],"Yes","No")</f>
        <v>Yes</v>
      </c>
      <c r="S66" s="3">
        <f t="shared" ref="S66:S101" si="3">J66-H66</f>
        <v>3</v>
      </c>
      <c r="T66" s="3" t="str">
        <f ca="1">IF(AND(Calculation[[#This Row],[Task Status]]&lt;&gt;"Completed",TODAY()&gt;Calculation[[#This Row],[Due Date]]),"Yes","No")</f>
        <v>Yes</v>
      </c>
    </row>
    <row r="67" spans="1:20" x14ac:dyDescent="0.3">
      <c r="A67" t="s">
        <v>134</v>
      </c>
      <c r="B67" t="s">
        <v>54</v>
      </c>
      <c r="C67" t="s">
        <v>18</v>
      </c>
      <c r="D67" t="s">
        <v>55</v>
      </c>
      <c r="E67" t="s">
        <v>20</v>
      </c>
      <c r="F67" t="s">
        <v>21</v>
      </c>
      <c r="G67" t="s">
        <v>56</v>
      </c>
      <c r="H67" s="1">
        <v>46088</v>
      </c>
      <c r="I67" s="1">
        <v>46034</v>
      </c>
      <c r="J67" s="1">
        <v>46091</v>
      </c>
      <c r="K67" s="3">
        <v>76</v>
      </c>
      <c r="L67" s="3">
        <v>1</v>
      </c>
      <c r="M67" s="3">
        <v>3</v>
      </c>
      <c r="N67" t="s">
        <v>37</v>
      </c>
      <c r="O67">
        <f t="shared" ref="O67:O101" si="4">M67-L67</f>
        <v>2</v>
      </c>
      <c r="P67" t="str">
        <f>IF(Calculation[[#This Row],[Completion Date]]=Calculation[[#This Row],[Progress %]],"In progress",IF(Calculation[[#This Row],[Completion Date]]&gt;Calculation[[#This Row],[Due Date]],"Delayed","Completed"))</f>
        <v>Delayed</v>
      </c>
      <c r="Q67" s="3">
        <f>IF(Calculation[[#This Row],[Task Status]]="Completed",100,IF(Calculation[[#This Row],[Task Status]]="In Progress",50,0))</f>
        <v>0</v>
      </c>
      <c r="R67" s="3" t="str">
        <f>IF(Calculation[[#This Row],[Completion Date]]&gt;Calculation[[#This Row],[Due Date]],"Yes","No")</f>
        <v>Yes</v>
      </c>
      <c r="S67" s="3">
        <f t="shared" si="3"/>
        <v>3</v>
      </c>
      <c r="T67" s="3" t="str">
        <f ca="1">IF(AND(Calculation[[#This Row],[Task Status]]&lt;&gt;"Completed",TODAY()&gt;Calculation[[#This Row],[Due Date]]),"Yes","No")</f>
        <v>Yes</v>
      </c>
    </row>
    <row r="68" spans="1:20" x14ac:dyDescent="0.3">
      <c r="A68" t="s">
        <v>135</v>
      </c>
      <c r="B68" t="s">
        <v>58</v>
      </c>
      <c r="C68" t="s">
        <v>33</v>
      </c>
      <c r="D68" t="s">
        <v>59</v>
      </c>
      <c r="E68" t="s">
        <v>35</v>
      </c>
      <c r="F68" t="s">
        <v>28</v>
      </c>
      <c r="G68" t="s">
        <v>60</v>
      </c>
      <c r="H68" s="1">
        <v>46089</v>
      </c>
      <c r="I68" s="1">
        <v>46036</v>
      </c>
      <c r="J68" s="1">
        <v>46092</v>
      </c>
      <c r="K68" s="3">
        <v>6</v>
      </c>
      <c r="L68" s="3">
        <v>12</v>
      </c>
      <c r="M68" s="3">
        <v>7</v>
      </c>
      <c r="N68" t="s">
        <v>45</v>
      </c>
      <c r="O68">
        <f t="shared" si="4"/>
        <v>-5</v>
      </c>
      <c r="P68" t="str">
        <f>IF(Calculation[[#This Row],[Completion Date]]=Calculation[[#This Row],[Progress %]],"In progress",IF(Calculation[[#This Row],[Completion Date]]&gt;Calculation[[#This Row],[Due Date]],"Delayed","Completed"))</f>
        <v>Delayed</v>
      </c>
      <c r="Q68" s="3">
        <f>IF(Calculation[[#This Row],[Task Status]]="Completed",100,IF(Calculation[[#This Row],[Task Status]]="In Progress",50,0))</f>
        <v>0</v>
      </c>
      <c r="R68" s="3" t="str">
        <f>IF(Calculation[[#This Row],[Completion Date]]&gt;Calculation[[#This Row],[Due Date]],"Yes","No")</f>
        <v>Yes</v>
      </c>
      <c r="S68" s="3">
        <f t="shared" si="3"/>
        <v>3</v>
      </c>
      <c r="T68" s="3" t="str">
        <f ca="1">IF(AND(Calculation[[#This Row],[Task Status]]&lt;&gt;"Completed",TODAY()&gt;Calculation[[#This Row],[Due Date]]),"Yes","No")</f>
        <v>Yes</v>
      </c>
    </row>
    <row r="69" spans="1:20" x14ac:dyDescent="0.3">
      <c r="A69" t="s">
        <v>136</v>
      </c>
      <c r="B69" t="s">
        <v>62</v>
      </c>
      <c r="C69" t="s">
        <v>40</v>
      </c>
      <c r="D69" t="s">
        <v>63</v>
      </c>
      <c r="E69" t="s">
        <v>64</v>
      </c>
      <c r="F69" t="s">
        <v>21</v>
      </c>
      <c r="G69" t="s">
        <v>65</v>
      </c>
      <c r="H69" s="1">
        <v>46090</v>
      </c>
      <c r="I69" s="1">
        <v>46035</v>
      </c>
      <c r="J69" s="1">
        <v>46093</v>
      </c>
      <c r="K69" s="3">
        <v>76</v>
      </c>
      <c r="L69" s="3">
        <v>6.0959584723767097</v>
      </c>
      <c r="M69" s="3">
        <v>8</v>
      </c>
      <c r="N69" t="s">
        <v>52</v>
      </c>
      <c r="O69">
        <f t="shared" si="4"/>
        <v>1.9040415276232903</v>
      </c>
      <c r="P69" t="str">
        <f>IF(Calculation[[#This Row],[Completion Date]]=Calculation[[#This Row],[Progress %]],"In progress",IF(Calculation[[#This Row],[Completion Date]]&gt;Calculation[[#This Row],[Due Date]],"Delayed","Completed"))</f>
        <v>Delayed</v>
      </c>
      <c r="Q69" s="3">
        <f>IF(Calculation[[#This Row],[Task Status]]="Completed",100,IF(Calculation[[#This Row],[Task Status]]="In Progress",50,0))</f>
        <v>0</v>
      </c>
      <c r="R69" s="3" t="str">
        <f>IF(Calculation[[#This Row],[Completion Date]]&gt;Calculation[[#This Row],[Due Date]],"Yes","No")</f>
        <v>Yes</v>
      </c>
      <c r="S69" s="3">
        <f t="shared" si="3"/>
        <v>3</v>
      </c>
      <c r="T69" s="3" t="str">
        <f ca="1">IF(AND(Calculation[[#This Row],[Task Status]]&lt;&gt;"Completed",TODAY()&gt;Calculation[[#This Row],[Due Date]]),"Yes","No")</f>
        <v>Yes</v>
      </c>
    </row>
    <row r="70" spans="1:20" x14ac:dyDescent="0.3">
      <c r="A70" t="s">
        <v>137</v>
      </c>
      <c r="B70" t="s">
        <v>67</v>
      </c>
      <c r="C70" t="s">
        <v>48</v>
      </c>
      <c r="D70" t="s">
        <v>68</v>
      </c>
      <c r="E70" t="s">
        <v>64</v>
      </c>
      <c r="F70" t="s">
        <v>21</v>
      </c>
      <c r="G70" t="s">
        <v>36</v>
      </c>
      <c r="H70" s="1">
        <v>46091</v>
      </c>
      <c r="I70" s="1">
        <v>46037</v>
      </c>
      <c r="J70" s="1">
        <v>46094</v>
      </c>
      <c r="K70" s="3">
        <v>88</v>
      </c>
      <c r="L70" s="3">
        <v>1</v>
      </c>
      <c r="M70" s="3">
        <v>9</v>
      </c>
      <c r="N70" t="s">
        <v>37</v>
      </c>
      <c r="O70">
        <f t="shared" si="4"/>
        <v>8</v>
      </c>
      <c r="P70" t="str">
        <f>IF(Calculation[[#This Row],[Completion Date]]=Calculation[[#This Row],[Progress %]],"In progress",IF(Calculation[[#This Row],[Completion Date]]&gt;Calculation[[#This Row],[Due Date]],"Delayed","Completed"))</f>
        <v>Delayed</v>
      </c>
      <c r="Q70" s="3">
        <f>IF(Calculation[[#This Row],[Task Status]]="Completed",100,IF(Calculation[[#This Row],[Task Status]]="In Progress",50,0))</f>
        <v>0</v>
      </c>
      <c r="R70" s="3" t="str">
        <f>IF(Calculation[[#This Row],[Completion Date]]&gt;Calculation[[#This Row],[Due Date]],"Yes","No")</f>
        <v>Yes</v>
      </c>
      <c r="S70" s="3">
        <f t="shared" si="3"/>
        <v>3</v>
      </c>
      <c r="T70" s="3" t="str">
        <f ca="1">IF(AND(Calculation[[#This Row],[Task Status]]&lt;&gt;"Completed",TODAY()&gt;Calculation[[#This Row],[Due Date]]),"Yes","No")</f>
        <v>Yes</v>
      </c>
    </row>
    <row r="71" spans="1:20" x14ac:dyDescent="0.3">
      <c r="A71" t="s">
        <v>138</v>
      </c>
      <c r="B71" t="s">
        <v>17</v>
      </c>
      <c r="C71" t="s">
        <v>18</v>
      </c>
      <c r="D71" t="s">
        <v>19</v>
      </c>
      <c r="E71" t="s">
        <v>20</v>
      </c>
      <c r="F71" t="s">
        <v>28</v>
      </c>
      <c r="G71" t="s">
        <v>70</v>
      </c>
      <c r="H71" s="1">
        <v>46092</v>
      </c>
      <c r="I71" s="1">
        <v>46038</v>
      </c>
      <c r="J71" s="1">
        <v>46095</v>
      </c>
      <c r="K71" s="3">
        <v>66</v>
      </c>
      <c r="L71" s="3">
        <v>12</v>
      </c>
      <c r="M71" s="3">
        <v>5</v>
      </c>
      <c r="N71" t="s">
        <v>37</v>
      </c>
      <c r="O71">
        <f t="shared" si="4"/>
        <v>-7</v>
      </c>
      <c r="P71" t="str">
        <f>IF(Calculation[[#This Row],[Completion Date]]=Calculation[[#This Row],[Progress %]],"In progress",IF(Calculation[[#This Row],[Completion Date]]&gt;Calculation[[#This Row],[Due Date]],"Delayed","Completed"))</f>
        <v>Delayed</v>
      </c>
      <c r="Q71" s="3">
        <f>IF(Calculation[[#This Row],[Task Status]]="Completed",100,IF(Calculation[[#This Row],[Task Status]]="In Progress",50,0))</f>
        <v>0</v>
      </c>
      <c r="R71" s="3" t="str">
        <f>IF(Calculation[[#This Row],[Completion Date]]&gt;Calculation[[#This Row],[Due Date]],"Yes","No")</f>
        <v>Yes</v>
      </c>
      <c r="S71" s="3">
        <f t="shared" si="3"/>
        <v>3</v>
      </c>
      <c r="T71" s="3" t="str">
        <f ca="1">IF(AND(Calculation[[#This Row],[Task Status]]&lt;&gt;"Completed",TODAY()&gt;Calculation[[#This Row],[Due Date]]),"Yes","No")</f>
        <v>Yes</v>
      </c>
    </row>
    <row r="72" spans="1:20" x14ac:dyDescent="0.3">
      <c r="A72" t="s">
        <v>139</v>
      </c>
      <c r="B72" t="s">
        <v>17</v>
      </c>
      <c r="C72" t="s">
        <v>18</v>
      </c>
      <c r="D72" t="s">
        <v>26</v>
      </c>
      <c r="E72" t="s">
        <v>27</v>
      </c>
      <c r="F72" t="s">
        <v>43</v>
      </c>
      <c r="G72" t="s">
        <v>29</v>
      </c>
      <c r="H72" s="1">
        <v>46093</v>
      </c>
      <c r="I72" s="1">
        <v>46039</v>
      </c>
      <c r="J72" s="1">
        <v>46096</v>
      </c>
      <c r="K72" s="3">
        <v>43.862810530218802</v>
      </c>
      <c r="L72" s="3">
        <v>3</v>
      </c>
      <c r="M72" s="3">
        <v>6</v>
      </c>
      <c r="N72" t="s">
        <v>45</v>
      </c>
      <c r="O72">
        <f t="shared" si="4"/>
        <v>3</v>
      </c>
      <c r="P72" t="str">
        <f>IF(Calculation[[#This Row],[Completion Date]]=Calculation[[#This Row],[Progress %]],"In progress",IF(Calculation[[#This Row],[Completion Date]]&gt;Calculation[[#This Row],[Due Date]],"Delayed","Completed"))</f>
        <v>Delayed</v>
      </c>
      <c r="Q72" s="3">
        <f>IF(Calculation[[#This Row],[Task Status]]="Completed",100,IF(Calculation[[#This Row],[Task Status]]="In Progress",50,0))</f>
        <v>0</v>
      </c>
      <c r="R72" s="3" t="str">
        <f>IF(Calculation[[#This Row],[Completion Date]]&gt;Calculation[[#This Row],[Due Date]],"Yes","No")</f>
        <v>Yes</v>
      </c>
      <c r="S72" s="3">
        <f t="shared" si="3"/>
        <v>3</v>
      </c>
      <c r="T72" s="3" t="str">
        <f ca="1">IF(AND(Calculation[[#This Row],[Task Status]]&lt;&gt;"Completed",TODAY()&gt;Calculation[[#This Row],[Due Date]]),"Yes","No")</f>
        <v>Yes</v>
      </c>
    </row>
    <row r="73" spans="1:20" x14ac:dyDescent="0.3">
      <c r="A73" t="s">
        <v>140</v>
      </c>
      <c r="B73" t="s">
        <v>32</v>
      </c>
      <c r="C73" t="s">
        <v>33</v>
      </c>
      <c r="D73" t="s">
        <v>34</v>
      </c>
      <c r="E73" t="s">
        <v>35</v>
      </c>
      <c r="F73" t="s">
        <v>21</v>
      </c>
      <c r="G73" t="s">
        <v>73</v>
      </c>
      <c r="H73" s="1">
        <v>46094</v>
      </c>
      <c r="I73" s="1">
        <v>46040</v>
      </c>
      <c r="J73" s="1">
        <v>46097</v>
      </c>
      <c r="K73" s="3">
        <v>32</v>
      </c>
      <c r="L73" s="3">
        <v>5.9331108639228702</v>
      </c>
      <c r="M73" s="3">
        <v>7</v>
      </c>
      <c r="N73" t="s">
        <v>52</v>
      </c>
      <c r="O73">
        <f t="shared" si="4"/>
        <v>1.0668891360771298</v>
      </c>
      <c r="P73" t="str">
        <f>IF(Calculation[[#This Row],[Completion Date]]=Calculation[[#This Row],[Progress %]],"In progress",IF(Calculation[[#This Row],[Completion Date]]&gt;Calculation[[#This Row],[Due Date]],"Delayed","Completed"))</f>
        <v>Delayed</v>
      </c>
      <c r="Q73" s="3">
        <f>IF(Calculation[[#This Row],[Task Status]]="Completed",100,IF(Calculation[[#This Row],[Task Status]]="In Progress",50,0))</f>
        <v>0</v>
      </c>
      <c r="R73" s="3" t="str">
        <f>IF(Calculation[[#This Row],[Completion Date]]&gt;Calculation[[#This Row],[Due Date]],"Yes","No")</f>
        <v>Yes</v>
      </c>
      <c r="S73" s="3">
        <f t="shared" si="3"/>
        <v>3</v>
      </c>
      <c r="T73" s="3" t="str">
        <f ca="1">IF(AND(Calculation[[#This Row],[Task Status]]&lt;&gt;"Completed",TODAY()&gt;Calculation[[#This Row],[Due Date]]),"Yes","No")</f>
        <v>Yes</v>
      </c>
    </row>
    <row r="74" spans="1:20" x14ac:dyDescent="0.3">
      <c r="A74" t="s">
        <v>141</v>
      </c>
      <c r="B74" t="s">
        <v>39</v>
      </c>
      <c r="C74" t="s">
        <v>40</v>
      </c>
      <c r="D74" t="s">
        <v>41</v>
      </c>
      <c r="E74" t="s">
        <v>42</v>
      </c>
      <c r="F74" t="s">
        <v>28</v>
      </c>
      <c r="G74" t="s">
        <v>75</v>
      </c>
      <c r="H74" s="1">
        <v>46095</v>
      </c>
      <c r="I74" s="1">
        <v>46041</v>
      </c>
      <c r="J74" s="1">
        <v>46098</v>
      </c>
      <c r="K74" s="3">
        <v>24</v>
      </c>
      <c r="L74" s="3">
        <v>4</v>
      </c>
      <c r="M74" s="3">
        <v>1</v>
      </c>
      <c r="N74" t="s">
        <v>37</v>
      </c>
      <c r="O74">
        <f t="shared" si="4"/>
        <v>-3</v>
      </c>
      <c r="P74" t="str">
        <f>IF(Calculation[[#This Row],[Completion Date]]=Calculation[[#This Row],[Progress %]],"In progress",IF(Calculation[[#This Row],[Completion Date]]&gt;Calculation[[#This Row],[Due Date]],"Delayed","Completed"))</f>
        <v>Delayed</v>
      </c>
      <c r="Q74" s="3">
        <f>IF(Calculation[[#This Row],[Task Status]]="Completed",100,IF(Calculation[[#This Row],[Task Status]]="In Progress",50,0))</f>
        <v>0</v>
      </c>
      <c r="R74" s="3" t="str">
        <f>IF(Calculation[[#This Row],[Completion Date]]&gt;Calculation[[#This Row],[Due Date]],"Yes","No")</f>
        <v>Yes</v>
      </c>
      <c r="S74" s="3">
        <f t="shared" si="3"/>
        <v>3</v>
      </c>
      <c r="T74" s="3" t="str">
        <f ca="1">IF(AND(Calculation[[#This Row],[Task Status]]&lt;&gt;"Completed",TODAY()&gt;Calculation[[#This Row],[Due Date]]),"Yes","No")</f>
        <v>Yes</v>
      </c>
    </row>
    <row r="75" spans="1:20" x14ac:dyDescent="0.3">
      <c r="A75" t="s">
        <v>142</v>
      </c>
      <c r="B75" t="s">
        <v>47</v>
      </c>
      <c r="C75" t="s">
        <v>48</v>
      </c>
      <c r="D75" t="s">
        <v>49</v>
      </c>
      <c r="E75" t="s">
        <v>50</v>
      </c>
      <c r="F75" t="s">
        <v>43</v>
      </c>
      <c r="G75" t="s">
        <v>77</v>
      </c>
      <c r="H75" s="1">
        <v>46096</v>
      </c>
      <c r="I75" s="1">
        <v>46042</v>
      </c>
      <c r="J75" s="1">
        <v>46099</v>
      </c>
      <c r="K75" s="3">
        <v>45</v>
      </c>
      <c r="L75" s="3">
        <v>12</v>
      </c>
      <c r="M75" s="3">
        <v>3</v>
      </c>
      <c r="N75" t="s">
        <v>45</v>
      </c>
      <c r="O75">
        <f t="shared" si="4"/>
        <v>-9</v>
      </c>
      <c r="P75" t="str">
        <f>IF(Calculation[[#This Row],[Completion Date]]=Calculation[[#This Row],[Progress %]],"In progress",IF(Calculation[[#This Row],[Completion Date]]&gt;Calculation[[#This Row],[Due Date]],"Delayed","Completed"))</f>
        <v>Delayed</v>
      </c>
      <c r="Q75" s="3">
        <f>IF(Calculation[[#This Row],[Task Status]]="Completed",100,IF(Calculation[[#This Row],[Task Status]]="In Progress",50,0))</f>
        <v>0</v>
      </c>
      <c r="R75" s="3" t="str">
        <f>IF(Calculation[[#This Row],[Completion Date]]&gt;Calculation[[#This Row],[Due Date]],"Yes","No")</f>
        <v>Yes</v>
      </c>
      <c r="S75" s="3">
        <f t="shared" si="3"/>
        <v>3</v>
      </c>
      <c r="T75" s="3" t="str">
        <f ca="1">IF(AND(Calculation[[#This Row],[Task Status]]&lt;&gt;"Completed",TODAY()&gt;Calculation[[#This Row],[Due Date]]),"Yes","No")</f>
        <v>Yes</v>
      </c>
    </row>
    <row r="76" spans="1:20" x14ac:dyDescent="0.3">
      <c r="A76" t="s">
        <v>143</v>
      </c>
      <c r="B76" t="s">
        <v>54</v>
      </c>
      <c r="C76" t="s">
        <v>18</v>
      </c>
      <c r="D76" t="s">
        <v>55</v>
      </c>
      <c r="E76" t="s">
        <v>20</v>
      </c>
      <c r="F76" t="s">
        <v>21</v>
      </c>
      <c r="G76" t="s">
        <v>29</v>
      </c>
      <c r="H76" s="1">
        <v>46097</v>
      </c>
      <c r="I76" s="1">
        <v>46043</v>
      </c>
      <c r="J76" s="1">
        <v>46100</v>
      </c>
      <c r="K76" s="3">
        <v>65</v>
      </c>
      <c r="L76" s="3">
        <v>1</v>
      </c>
      <c r="M76" s="3">
        <v>2.8958101594364098</v>
      </c>
      <c r="N76" t="s">
        <v>30</v>
      </c>
      <c r="O76">
        <f t="shared" si="4"/>
        <v>1.8958101594364098</v>
      </c>
      <c r="P76" t="str">
        <f>IF(Calculation[[#This Row],[Completion Date]]=Calculation[[#This Row],[Progress %]],"In progress",IF(Calculation[[#This Row],[Completion Date]]&gt;Calculation[[#This Row],[Due Date]],"Delayed","Completed"))</f>
        <v>Delayed</v>
      </c>
      <c r="Q76" s="3">
        <f>IF(Calculation[[#This Row],[Task Status]]="Completed",100,IF(Calculation[[#This Row],[Task Status]]="In Progress",50,0))</f>
        <v>0</v>
      </c>
      <c r="R76" s="3" t="str">
        <f>IF(Calculation[[#This Row],[Completion Date]]&gt;Calculation[[#This Row],[Due Date]],"Yes","No")</f>
        <v>Yes</v>
      </c>
      <c r="S76" s="3">
        <f t="shared" si="3"/>
        <v>3</v>
      </c>
      <c r="T76" s="3" t="str">
        <f ca="1">IF(AND(Calculation[[#This Row],[Task Status]]&lt;&gt;"Completed",TODAY()&gt;Calculation[[#This Row],[Due Date]]),"Yes","No")</f>
        <v>Yes</v>
      </c>
    </row>
    <row r="77" spans="1:20" x14ac:dyDescent="0.3">
      <c r="A77" t="s">
        <v>144</v>
      </c>
      <c r="B77" t="s">
        <v>58</v>
      </c>
      <c r="C77" t="s">
        <v>33</v>
      </c>
      <c r="D77" t="s">
        <v>59</v>
      </c>
      <c r="E77" t="s">
        <v>35</v>
      </c>
      <c r="F77" t="s">
        <v>28</v>
      </c>
      <c r="G77" t="s">
        <v>80</v>
      </c>
      <c r="H77" s="1">
        <v>46098</v>
      </c>
      <c r="I77" s="1">
        <v>46044</v>
      </c>
      <c r="J77" s="1">
        <v>46101</v>
      </c>
      <c r="K77" s="3">
        <v>87</v>
      </c>
      <c r="L77" s="3">
        <v>12</v>
      </c>
      <c r="M77" s="3">
        <v>4</v>
      </c>
      <c r="N77" t="s">
        <v>37</v>
      </c>
      <c r="O77">
        <f t="shared" si="4"/>
        <v>-8</v>
      </c>
      <c r="P77" t="str">
        <f>IF(Calculation[[#This Row],[Completion Date]]=Calculation[[#This Row],[Progress %]],"In progress",IF(Calculation[[#This Row],[Completion Date]]&gt;Calculation[[#This Row],[Due Date]],"Delayed","Completed"))</f>
        <v>Delayed</v>
      </c>
      <c r="Q77" s="3">
        <f>IF(Calculation[[#This Row],[Task Status]]="Completed",100,IF(Calculation[[#This Row],[Task Status]]="In Progress",50,0))</f>
        <v>0</v>
      </c>
      <c r="R77" s="3" t="str">
        <f>IF(Calculation[[#This Row],[Completion Date]]&gt;Calculation[[#This Row],[Due Date]],"Yes","No")</f>
        <v>Yes</v>
      </c>
      <c r="S77" s="3">
        <f t="shared" si="3"/>
        <v>3</v>
      </c>
      <c r="T77" s="3" t="str">
        <f ca="1">IF(AND(Calculation[[#This Row],[Task Status]]&lt;&gt;"Completed",TODAY()&gt;Calculation[[#This Row],[Due Date]]),"Yes","No")</f>
        <v>Yes</v>
      </c>
    </row>
    <row r="78" spans="1:20" x14ac:dyDescent="0.3">
      <c r="A78" t="s">
        <v>145</v>
      </c>
      <c r="B78" t="s">
        <v>62</v>
      </c>
      <c r="C78" t="s">
        <v>40</v>
      </c>
      <c r="D78" t="s">
        <v>63</v>
      </c>
      <c r="E78" t="s">
        <v>64</v>
      </c>
      <c r="F78" t="s">
        <v>21</v>
      </c>
      <c r="G78" t="s">
        <v>82</v>
      </c>
      <c r="H78" s="1">
        <v>46099</v>
      </c>
      <c r="I78" s="1">
        <v>46045</v>
      </c>
      <c r="J78" s="1">
        <v>46102</v>
      </c>
      <c r="K78" s="3">
        <v>98</v>
      </c>
      <c r="L78" s="3">
        <v>1</v>
      </c>
      <c r="M78" s="3">
        <v>5</v>
      </c>
      <c r="N78" t="s">
        <v>52</v>
      </c>
      <c r="O78">
        <f t="shared" si="4"/>
        <v>4</v>
      </c>
      <c r="P78" t="str">
        <f>IF(Calculation[[#This Row],[Completion Date]]=Calculation[[#This Row],[Progress %]],"In progress",IF(Calculation[[#This Row],[Completion Date]]&gt;Calculation[[#This Row],[Due Date]],"Delayed","Completed"))</f>
        <v>Delayed</v>
      </c>
      <c r="Q78" s="3">
        <f>IF(Calculation[[#This Row],[Task Status]]="Completed",100,IF(Calculation[[#This Row],[Task Status]]="In Progress",50,0))</f>
        <v>0</v>
      </c>
      <c r="R78" s="3" t="str">
        <f>IF(Calculation[[#This Row],[Completion Date]]&gt;Calculation[[#This Row],[Due Date]],"Yes","No")</f>
        <v>Yes</v>
      </c>
      <c r="S78" s="3">
        <f t="shared" si="3"/>
        <v>3</v>
      </c>
      <c r="T78" s="3" t="str">
        <f ca="1">IF(AND(Calculation[[#This Row],[Task Status]]&lt;&gt;"Completed",TODAY()&gt;Calculation[[#This Row],[Due Date]]),"Yes","No")</f>
        <v>Yes</v>
      </c>
    </row>
    <row r="79" spans="1:20" x14ac:dyDescent="0.3">
      <c r="A79" t="s">
        <v>146</v>
      </c>
      <c r="B79" t="s">
        <v>67</v>
      </c>
      <c r="C79" t="s">
        <v>48</v>
      </c>
      <c r="D79" t="s">
        <v>68</v>
      </c>
      <c r="E79" t="s">
        <v>64</v>
      </c>
      <c r="F79" t="s">
        <v>28</v>
      </c>
      <c r="G79" t="s">
        <v>73</v>
      </c>
      <c r="H79" s="1">
        <v>46100</v>
      </c>
      <c r="I79" s="1">
        <v>46046</v>
      </c>
      <c r="J79" s="1">
        <v>46103</v>
      </c>
      <c r="K79" s="3">
        <v>15</v>
      </c>
      <c r="L79" s="3">
        <v>13</v>
      </c>
      <c r="M79" s="3">
        <v>6</v>
      </c>
      <c r="N79" t="s">
        <v>37</v>
      </c>
      <c r="O79">
        <f t="shared" si="4"/>
        <v>-7</v>
      </c>
      <c r="P79" t="str">
        <f>IF(Calculation[[#This Row],[Completion Date]]=Calculation[[#This Row],[Progress %]],"In progress",IF(Calculation[[#This Row],[Completion Date]]&gt;Calculation[[#This Row],[Due Date]],"Delayed","Completed"))</f>
        <v>Delayed</v>
      </c>
      <c r="Q79" s="3">
        <f>IF(Calculation[[#This Row],[Task Status]]="Completed",100,IF(Calculation[[#This Row],[Task Status]]="In Progress",50,0))</f>
        <v>0</v>
      </c>
      <c r="R79" s="3" t="str">
        <f>IF(Calculation[[#This Row],[Completion Date]]&gt;Calculation[[#This Row],[Due Date]],"Yes","No")</f>
        <v>Yes</v>
      </c>
      <c r="S79" s="3">
        <f t="shared" si="3"/>
        <v>3</v>
      </c>
      <c r="T79" s="3" t="str">
        <f ca="1">IF(AND(Calculation[[#This Row],[Task Status]]&lt;&gt;"Completed",TODAY()&gt;Calculation[[#This Row],[Due Date]]),"Yes","No")</f>
        <v>Yes</v>
      </c>
    </row>
    <row r="80" spans="1:20" x14ac:dyDescent="0.3">
      <c r="A80" t="s">
        <v>147</v>
      </c>
      <c r="B80" t="s">
        <v>17</v>
      </c>
      <c r="C80" t="s">
        <v>18</v>
      </c>
      <c r="D80" t="s">
        <v>19</v>
      </c>
      <c r="E80" t="s">
        <v>20</v>
      </c>
      <c r="F80" t="s">
        <v>21</v>
      </c>
      <c r="G80" t="s">
        <v>22</v>
      </c>
      <c r="H80" s="1">
        <v>46101</v>
      </c>
      <c r="I80" s="1">
        <v>46047</v>
      </c>
      <c r="J80" s="1">
        <v>46104</v>
      </c>
      <c r="K80" s="3">
        <v>17</v>
      </c>
      <c r="L80" s="3">
        <v>15</v>
      </c>
      <c r="M80" s="3">
        <v>7</v>
      </c>
      <c r="N80" t="s">
        <v>37</v>
      </c>
      <c r="O80">
        <f t="shared" si="4"/>
        <v>-8</v>
      </c>
      <c r="P80" t="str">
        <f>IF(Calculation[[#This Row],[Completion Date]]=Calculation[[#This Row],[Progress %]],"In progress",IF(Calculation[[#This Row],[Completion Date]]&gt;Calculation[[#This Row],[Due Date]],"Delayed","Completed"))</f>
        <v>Delayed</v>
      </c>
      <c r="Q80" s="3">
        <f>IF(Calculation[[#This Row],[Task Status]]="Completed",100,IF(Calculation[[#This Row],[Task Status]]="In Progress",50,0))</f>
        <v>0</v>
      </c>
      <c r="R80" s="3" t="str">
        <f>IF(Calculation[[#This Row],[Completion Date]]&gt;Calculation[[#This Row],[Due Date]],"Yes","No")</f>
        <v>Yes</v>
      </c>
      <c r="S80" s="3">
        <f t="shared" si="3"/>
        <v>3</v>
      </c>
      <c r="T80" s="3" t="str">
        <f ca="1">IF(AND(Calculation[[#This Row],[Task Status]]&lt;&gt;"Completed",TODAY()&gt;Calculation[[#This Row],[Due Date]]),"Yes","No")</f>
        <v>Yes</v>
      </c>
    </row>
    <row r="81" spans="1:20" x14ac:dyDescent="0.3">
      <c r="A81" t="s">
        <v>148</v>
      </c>
      <c r="B81" t="s">
        <v>17</v>
      </c>
      <c r="C81" t="s">
        <v>18</v>
      </c>
      <c r="D81" t="s">
        <v>26</v>
      </c>
      <c r="E81" t="s">
        <v>27</v>
      </c>
      <c r="F81" t="s">
        <v>28</v>
      </c>
      <c r="G81" t="s">
        <v>29</v>
      </c>
      <c r="H81" s="1">
        <v>46102</v>
      </c>
      <c r="I81" s="1">
        <v>46048</v>
      </c>
      <c r="J81" s="1">
        <v>46105</v>
      </c>
      <c r="K81" s="3">
        <v>45</v>
      </c>
      <c r="L81" s="3">
        <v>5.6074156470152001</v>
      </c>
      <c r="M81" s="3">
        <v>8</v>
      </c>
      <c r="N81" t="s">
        <v>45</v>
      </c>
      <c r="O81">
        <f t="shared" si="4"/>
        <v>2.3925843529847999</v>
      </c>
      <c r="P81" t="str">
        <f>IF(Calculation[[#This Row],[Completion Date]]=Calculation[[#This Row],[Progress %]],"In progress",IF(Calculation[[#This Row],[Completion Date]]&gt;Calculation[[#This Row],[Due Date]],"Delayed","Completed"))</f>
        <v>Delayed</v>
      </c>
      <c r="Q81" s="3">
        <f>IF(Calculation[[#This Row],[Task Status]]="Completed",100,IF(Calculation[[#This Row],[Task Status]]="In Progress",50,0))</f>
        <v>0</v>
      </c>
      <c r="R81" s="3" t="str">
        <f>IF(Calculation[[#This Row],[Completion Date]]&gt;Calculation[[#This Row],[Due Date]],"Yes","No")</f>
        <v>Yes</v>
      </c>
      <c r="S81" s="3">
        <f t="shared" si="3"/>
        <v>3</v>
      </c>
      <c r="T81" s="3" t="str">
        <f ca="1">IF(AND(Calculation[[#This Row],[Task Status]]&lt;&gt;"Completed",TODAY()&gt;Calculation[[#This Row],[Due Date]]),"Yes","No")</f>
        <v>Yes</v>
      </c>
    </row>
    <row r="82" spans="1:20" x14ac:dyDescent="0.3">
      <c r="A82" t="s">
        <v>149</v>
      </c>
      <c r="B82" t="s">
        <v>32</v>
      </c>
      <c r="C82" t="s">
        <v>33</v>
      </c>
      <c r="D82" t="s">
        <v>34</v>
      </c>
      <c r="E82" t="s">
        <v>35</v>
      </c>
      <c r="F82" t="s">
        <v>21</v>
      </c>
      <c r="G82" t="s">
        <v>87</v>
      </c>
      <c r="H82" s="1">
        <v>46103</v>
      </c>
      <c r="I82" s="1">
        <v>46049</v>
      </c>
      <c r="J82" s="1">
        <v>46106</v>
      </c>
      <c r="K82" s="3">
        <v>90</v>
      </c>
      <c r="L82" s="3">
        <v>17</v>
      </c>
      <c r="M82" s="3">
        <v>9</v>
      </c>
      <c r="N82" t="s">
        <v>52</v>
      </c>
      <c r="O82">
        <f t="shared" si="4"/>
        <v>-8</v>
      </c>
      <c r="P82" t="str">
        <f>IF(Calculation[[#This Row],[Completion Date]]=Calculation[[#This Row],[Progress %]],"In progress",IF(Calculation[[#This Row],[Completion Date]]&gt;Calculation[[#This Row],[Due Date]],"Delayed","Completed"))</f>
        <v>Delayed</v>
      </c>
      <c r="Q82" s="3">
        <f>IF(Calculation[[#This Row],[Task Status]]="Completed",100,IF(Calculation[[#This Row],[Task Status]]="In Progress",50,0))</f>
        <v>0</v>
      </c>
      <c r="R82" s="3" t="str">
        <f>IF(Calculation[[#This Row],[Completion Date]]&gt;Calculation[[#This Row],[Due Date]],"Yes","No")</f>
        <v>Yes</v>
      </c>
      <c r="S82" s="3">
        <f t="shared" si="3"/>
        <v>3</v>
      </c>
      <c r="T82" s="3" t="str">
        <f ca="1">IF(AND(Calculation[[#This Row],[Task Status]]&lt;&gt;"Completed",TODAY()&gt;Calculation[[#This Row],[Due Date]]),"Yes","No")</f>
        <v>Yes</v>
      </c>
    </row>
    <row r="83" spans="1:20" x14ac:dyDescent="0.3">
      <c r="A83" t="s">
        <v>150</v>
      </c>
      <c r="B83" t="s">
        <v>39</v>
      </c>
      <c r="C83" t="s">
        <v>40</v>
      </c>
      <c r="D83" t="s">
        <v>41</v>
      </c>
      <c r="E83" t="s">
        <v>42</v>
      </c>
      <c r="F83" t="s">
        <v>43</v>
      </c>
      <c r="G83" t="s">
        <v>89</v>
      </c>
      <c r="H83" s="1">
        <v>46104</v>
      </c>
      <c r="I83" s="1">
        <v>46050</v>
      </c>
      <c r="J83" s="1">
        <v>46107</v>
      </c>
      <c r="K83" s="3">
        <v>65</v>
      </c>
      <c r="L83" s="3">
        <v>8</v>
      </c>
      <c r="M83" s="3">
        <v>1</v>
      </c>
      <c r="N83" t="s">
        <v>37</v>
      </c>
      <c r="O83">
        <f t="shared" si="4"/>
        <v>-7</v>
      </c>
      <c r="P83" t="str">
        <f>IF(Calculation[[#This Row],[Completion Date]]=Calculation[[#This Row],[Progress %]],"In progress",IF(Calculation[[#This Row],[Completion Date]]&gt;Calculation[[#This Row],[Due Date]],"Delayed","Completed"))</f>
        <v>Delayed</v>
      </c>
      <c r="Q83" s="3">
        <f>IF(Calculation[[#This Row],[Task Status]]="Completed",100,IF(Calculation[[#This Row],[Task Status]]="In Progress",50,0))</f>
        <v>0</v>
      </c>
      <c r="R83" s="3" t="str">
        <f>IF(Calculation[[#This Row],[Completion Date]]&gt;Calculation[[#This Row],[Due Date]],"Yes","No")</f>
        <v>Yes</v>
      </c>
      <c r="S83" s="3">
        <f t="shared" si="3"/>
        <v>3</v>
      </c>
      <c r="T83" s="3" t="str">
        <f ca="1">IF(AND(Calculation[[#This Row],[Task Status]]&lt;&gt;"Completed",TODAY()&gt;Calculation[[#This Row],[Due Date]]),"Yes","No")</f>
        <v>Yes</v>
      </c>
    </row>
    <row r="84" spans="1:20" x14ac:dyDescent="0.3">
      <c r="A84" t="s">
        <v>151</v>
      </c>
      <c r="B84" t="s">
        <v>47</v>
      </c>
      <c r="C84" t="s">
        <v>48</v>
      </c>
      <c r="D84" t="s">
        <v>49</v>
      </c>
      <c r="E84" t="s">
        <v>50</v>
      </c>
      <c r="F84" t="s">
        <v>21</v>
      </c>
      <c r="G84" t="s">
        <v>51</v>
      </c>
      <c r="H84" s="1">
        <v>46105</v>
      </c>
      <c r="I84" s="1">
        <v>46051</v>
      </c>
      <c r="J84" s="1">
        <v>46108</v>
      </c>
      <c r="K84" s="3">
        <v>0</v>
      </c>
      <c r="L84" s="3">
        <v>9</v>
      </c>
      <c r="M84" s="3">
        <v>21</v>
      </c>
      <c r="N84" t="s">
        <v>30</v>
      </c>
      <c r="O84">
        <f t="shared" si="4"/>
        <v>12</v>
      </c>
      <c r="P84" t="str">
        <f>IF(Calculation[[#This Row],[Completion Date]]=Calculation[[#This Row],[Progress %]],"In progress",IF(Calculation[[#This Row],[Completion Date]]&gt;Calculation[[#This Row],[Due Date]],"Delayed","Completed"))</f>
        <v>Delayed</v>
      </c>
      <c r="Q84" s="3">
        <f>IF(Calculation[[#This Row],[Task Status]]="Completed",100,IF(Calculation[[#This Row],[Task Status]]="In Progress",50,0))</f>
        <v>0</v>
      </c>
      <c r="R84" s="3" t="str">
        <f>IF(Calculation[[#This Row],[Completion Date]]&gt;Calculation[[#This Row],[Due Date]],"Yes","No")</f>
        <v>Yes</v>
      </c>
      <c r="S84" s="3">
        <f t="shared" si="3"/>
        <v>3</v>
      </c>
      <c r="T84" s="3" t="str">
        <f ca="1">IF(AND(Calculation[[#This Row],[Task Status]]&lt;&gt;"Completed",TODAY()&gt;Calculation[[#This Row],[Due Date]]),"Yes","No")</f>
        <v>Yes</v>
      </c>
    </row>
    <row r="85" spans="1:20" x14ac:dyDescent="0.3">
      <c r="A85" t="s">
        <v>152</v>
      </c>
      <c r="B85" t="s">
        <v>54</v>
      </c>
      <c r="C85" t="s">
        <v>18</v>
      </c>
      <c r="D85" t="s">
        <v>55</v>
      </c>
      <c r="E85" t="s">
        <v>20</v>
      </c>
      <c r="F85" t="s">
        <v>21</v>
      </c>
      <c r="G85" t="s">
        <v>29</v>
      </c>
      <c r="H85" s="1">
        <v>46106</v>
      </c>
      <c r="I85" s="1">
        <v>46052</v>
      </c>
      <c r="J85" s="1">
        <v>46109</v>
      </c>
      <c r="K85" s="3">
        <v>0</v>
      </c>
      <c r="L85" s="3">
        <v>5.4445680385613597</v>
      </c>
      <c r="M85" s="3">
        <v>2.5674453096032601</v>
      </c>
      <c r="N85" t="s">
        <v>37</v>
      </c>
      <c r="O85">
        <f t="shared" si="4"/>
        <v>-2.8771227289580996</v>
      </c>
      <c r="P85" t="str">
        <f>IF(Calculation[[#This Row],[Completion Date]]=Calculation[[#This Row],[Progress %]],"In progress",IF(Calculation[[#This Row],[Completion Date]]&gt;Calculation[[#This Row],[Due Date]],"Delayed","Completed"))</f>
        <v>Delayed</v>
      </c>
      <c r="Q85" s="3">
        <f>IF(Calculation[[#This Row],[Task Status]]="Completed",100,IF(Calculation[[#This Row],[Task Status]]="In Progress",50,0))</f>
        <v>0</v>
      </c>
      <c r="R85" s="3" t="str">
        <f>IF(Calculation[[#This Row],[Completion Date]]&gt;Calculation[[#This Row],[Due Date]],"Yes","No")</f>
        <v>Yes</v>
      </c>
      <c r="S85" s="3">
        <f t="shared" si="3"/>
        <v>3</v>
      </c>
      <c r="T85" s="3" t="str">
        <f ca="1">IF(AND(Calculation[[#This Row],[Task Status]]&lt;&gt;"Completed",TODAY()&gt;Calculation[[#This Row],[Due Date]]),"Yes","No")</f>
        <v>Yes</v>
      </c>
    </row>
    <row r="86" spans="1:20" x14ac:dyDescent="0.3">
      <c r="A86" t="s">
        <v>153</v>
      </c>
      <c r="B86" t="s">
        <v>58</v>
      </c>
      <c r="C86" t="s">
        <v>33</v>
      </c>
      <c r="D86" t="s">
        <v>59</v>
      </c>
      <c r="E86" t="s">
        <v>35</v>
      </c>
      <c r="F86" t="s">
        <v>28</v>
      </c>
      <c r="G86" t="s">
        <v>77</v>
      </c>
      <c r="H86" s="1">
        <v>46107</v>
      </c>
      <c r="I86" s="1">
        <v>46053</v>
      </c>
      <c r="J86" s="1">
        <v>46110</v>
      </c>
      <c r="K86" s="3">
        <v>9</v>
      </c>
      <c r="L86" s="3">
        <v>2</v>
      </c>
      <c r="M86" s="3">
        <v>23</v>
      </c>
      <c r="N86" t="s">
        <v>45</v>
      </c>
      <c r="O86">
        <f t="shared" si="4"/>
        <v>21</v>
      </c>
      <c r="P86" t="str">
        <f>IF(Calculation[[#This Row],[Completion Date]]=Calculation[[#This Row],[Progress %]],"In progress",IF(Calculation[[#This Row],[Completion Date]]&gt;Calculation[[#This Row],[Due Date]],"Delayed","Completed"))</f>
        <v>Delayed</v>
      </c>
      <c r="Q86" s="3">
        <f>IF(Calculation[[#This Row],[Task Status]]="Completed",100,IF(Calculation[[#This Row],[Task Status]]="In Progress",50,0))</f>
        <v>0</v>
      </c>
      <c r="R86" s="3" t="str">
        <f>IF(Calculation[[#This Row],[Completion Date]]&gt;Calculation[[#This Row],[Due Date]],"Yes","No")</f>
        <v>Yes</v>
      </c>
      <c r="S86" s="3">
        <f t="shared" si="3"/>
        <v>3</v>
      </c>
      <c r="T86" s="3" t="str">
        <f ca="1">IF(AND(Calculation[[#This Row],[Task Status]]&lt;&gt;"Completed",TODAY()&gt;Calculation[[#This Row],[Due Date]]),"Yes","No")</f>
        <v>Yes</v>
      </c>
    </row>
    <row r="87" spans="1:20" x14ac:dyDescent="0.3">
      <c r="A87" t="s">
        <v>154</v>
      </c>
      <c r="B87" t="s">
        <v>62</v>
      </c>
      <c r="C87" t="s">
        <v>40</v>
      </c>
      <c r="D87" t="s">
        <v>63</v>
      </c>
      <c r="E87" t="s">
        <v>64</v>
      </c>
      <c r="F87" t="s">
        <v>21</v>
      </c>
      <c r="G87" t="s">
        <v>94</v>
      </c>
      <c r="H87" s="1">
        <v>46108</v>
      </c>
      <c r="I87" s="1">
        <v>46054</v>
      </c>
      <c r="J87" s="1">
        <v>46111</v>
      </c>
      <c r="K87" s="3">
        <v>88</v>
      </c>
      <c r="L87" s="3">
        <v>11</v>
      </c>
      <c r="M87" s="3">
        <v>12</v>
      </c>
      <c r="N87" t="s">
        <v>52</v>
      </c>
      <c r="O87">
        <f t="shared" si="4"/>
        <v>1</v>
      </c>
      <c r="P87" t="str">
        <f>IF(Calculation[[#This Row],[Completion Date]]=Calculation[[#This Row],[Progress %]],"In progress",IF(Calculation[[#This Row],[Completion Date]]&gt;Calculation[[#This Row],[Due Date]],"Delayed","Completed"))</f>
        <v>Delayed</v>
      </c>
      <c r="Q87" s="3">
        <f>IF(Calculation[[#This Row],[Task Status]]="Completed",100,IF(Calculation[[#This Row],[Task Status]]="In Progress",50,0))</f>
        <v>0</v>
      </c>
      <c r="R87" s="3" t="str">
        <f>IF(Calculation[[#This Row],[Completion Date]]&gt;Calculation[[#This Row],[Due Date]],"Yes","No")</f>
        <v>Yes</v>
      </c>
      <c r="S87" s="3">
        <f t="shared" si="3"/>
        <v>3</v>
      </c>
      <c r="T87" s="3" t="str">
        <f ca="1">IF(AND(Calculation[[#This Row],[Task Status]]&lt;&gt;"Completed",TODAY()&gt;Calculation[[#This Row],[Due Date]]),"Yes","No")</f>
        <v>Yes</v>
      </c>
    </row>
    <row r="88" spans="1:20" x14ac:dyDescent="0.3">
      <c r="A88" t="s">
        <v>155</v>
      </c>
      <c r="B88" t="s">
        <v>67</v>
      </c>
      <c r="C88" t="s">
        <v>48</v>
      </c>
      <c r="D88" t="s">
        <v>68</v>
      </c>
      <c r="E88" t="s">
        <v>64</v>
      </c>
      <c r="F88" t="s">
        <v>28</v>
      </c>
      <c r="G88" t="s">
        <v>73</v>
      </c>
      <c r="H88" s="1">
        <v>46109</v>
      </c>
      <c r="I88" s="1">
        <v>46055</v>
      </c>
      <c r="J88" s="1">
        <v>46112</v>
      </c>
      <c r="K88" s="3">
        <v>76</v>
      </c>
      <c r="L88" s="3">
        <v>13</v>
      </c>
      <c r="M88" s="3">
        <v>11</v>
      </c>
      <c r="N88" t="s">
        <v>37</v>
      </c>
      <c r="O88">
        <f t="shared" si="4"/>
        <v>-2</v>
      </c>
      <c r="P88" t="str">
        <f>IF(Calculation[[#This Row],[Completion Date]]=Calculation[[#This Row],[Progress %]],"In progress",IF(Calculation[[#This Row],[Completion Date]]&gt;Calculation[[#This Row],[Due Date]],"Delayed","Completed"))</f>
        <v>Delayed</v>
      </c>
      <c r="Q88" s="3">
        <f>IF(Calculation[[#This Row],[Task Status]]="Completed",100,IF(Calculation[[#This Row],[Task Status]]="In Progress",50,0))</f>
        <v>0</v>
      </c>
      <c r="R88" s="3" t="str">
        <f>IF(Calculation[[#This Row],[Completion Date]]&gt;Calculation[[#This Row],[Due Date]],"Yes","No")</f>
        <v>Yes</v>
      </c>
      <c r="S88" s="3">
        <f t="shared" si="3"/>
        <v>3</v>
      </c>
      <c r="T88" s="3" t="str">
        <f ca="1">IF(AND(Calculation[[#This Row],[Task Status]]&lt;&gt;"Completed",TODAY()&gt;Calculation[[#This Row],[Due Date]]),"Yes","No")</f>
        <v>Yes</v>
      </c>
    </row>
    <row r="89" spans="1:20" x14ac:dyDescent="0.3">
      <c r="A89" t="s">
        <v>156</v>
      </c>
      <c r="B89" t="s">
        <v>17</v>
      </c>
      <c r="C89" t="s">
        <v>18</v>
      </c>
      <c r="D89" t="s">
        <v>19</v>
      </c>
      <c r="E89" t="s">
        <v>20</v>
      </c>
      <c r="F89" t="s">
        <v>43</v>
      </c>
      <c r="G89" t="s">
        <v>70</v>
      </c>
      <c r="H89" s="1">
        <v>46110</v>
      </c>
      <c r="I89" s="1">
        <v>46056</v>
      </c>
      <c r="J89" s="1">
        <v>46113</v>
      </c>
      <c r="K89" s="3">
        <v>100</v>
      </c>
      <c r="L89" s="3">
        <v>12</v>
      </c>
      <c r="M89" s="3">
        <v>10</v>
      </c>
      <c r="N89" t="s">
        <v>45</v>
      </c>
      <c r="O89">
        <f t="shared" si="4"/>
        <v>-2</v>
      </c>
      <c r="P89" t="str">
        <f>IF(Calculation[[#This Row],[Completion Date]]=Calculation[[#This Row],[Progress %]],"In progress",IF(Calculation[[#This Row],[Completion Date]]&gt;Calculation[[#This Row],[Due Date]],"Delayed","Completed"))</f>
        <v>Delayed</v>
      </c>
      <c r="Q89" s="3">
        <f>IF(Calculation[[#This Row],[Task Status]]="Completed",100,IF(Calculation[[#This Row],[Task Status]]="In Progress",50,0))</f>
        <v>0</v>
      </c>
      <c r="R89" s="3" t="str">
        <f>IF(Calculation[[#This Row],[Completion Date]]&gt;Calculation[[#This Row],[Due Date]],"Yes","No")</f>
        <v>Yes</v>
      </c>
      <c r="S89" s="3">
        <f t="shared" si="3"/>
        <v>3</v>
      </c>
      <c r="T89" s="3" t="str">
        <f ca="1">IF(AND(Calculation[[#This Row],[Task Status]]&lt;&gt;"Completed",TODAY()&gt;Calculation[[#This Row],[Due Date]]),"Yes","No")</f>
        <v>Yes</v>
      </c>
    </row>
    <row r="90" spans="1:20" x14ac:dyDescent="0.3">
      <c r="A90" t="s">
        <v>157</v>
      </c>
      <c r="B90" t="s">
        <v>17</v>
      </c>
      <c r="C90" t="s">
        <v>18</v>
      </c>
      <c r="D90" t="s">
        <v>26</v>
      </c>
      <c r="E90" t="s">
        <v>27</v>
      </c>
      <c r="F90" t="s">
        <v>21</v>
      </c>
      <c r="G90" t="s">
        <v>29</v>
      </c>
      <c r="H90" s="1">
        <v>46111</v>
      </c>
      <c r="I90" s="1">
        <v>46057</v>
      </c>
      <c r="J90" s="1">
        <v>46114</v>
      </c>
      <c r="K90" s="3">
        <v>8</v>
      </c>
      <c r="L90" s="3">
        <v>11</v>
      </c>
      <c r="M90" s="3">
        <v>2.3850203930292899</v>
      </c>
      <c r="N90" t="s">
        <v>37</v>
      </c>
      <c r="O90">
        <f t="shared" si="4"/>
        <v>-8.6149796069707101</v>
      </c>
      <c r="P90" t="str">
        <f>IF(Calculation[[#This Row],[Completion Date]]=Calculation[[#This Row],[Progress %]],"In progress",IF(Calculation[[#This Row],[Completion Date]]&gt;Calculation[[#This Row],[Due Date]],"Delayed","Completed"))</f>
        <v>Delayed</v>
      </c>
      <c r="Q90" s="3">
        <f>IF(Calculation[[#This Row],[Task Status]]="Completed",100,IF(Calculation[[#This Row],[Task Status]]="In Progress",50,0))</f>
        <v>0</v>
      </c>
      <c r="R90" s="3" t="str">
        <f>IF(Calculation[[#This Row],[Completion Date]]&gt;Calculation[[#This Row],[Due Date]],"Yes","No")</f>
        <v>Yes</v>
      </c>
      <c r="S90" s="3">
        <f t="shared" si="3"/>
        <v>3</v>
      </c>
      <c r="T90" s="3" t="str">
        <f ca="1">IF(AND(Calculation[[#This Row],[Task Status]]&lt;&gt;"Completed",TODAY()&gt;Calculation[[#This Row],[Due Date]]),"Yes","No")</f>
        <v>Yes</v>
      </c>
    </row>
    <row r="91" spans="1:20" x14ac:dyDescent="0.3">
      <c r="A91" t="s">
        <v>158</v>
      </c>
      <c r="B91" t="s">
        <v>32</v>
      </c>
      <c r="C91" t="s">
        <v>33</v>
      </c>
      <c r="D91" t="s">
        <v>34</v>
      </c>
      <c r="E91" t="s">
        <v>35</v>
      </c>
      <c r="F91" t="s">
        <v>28</v>
      </c>
      <c r="G91" t="s">
        <v>36</v>
      </c>
      <c r="H91" s="1">
        <v>46112</v>
      </c>
      <c r="I91" s="1">
        <v>46058</v>
      </c>
      <c r="J91" s="1">
        <v>46115</v>
      </c>
      <c r="K91" s="3">
        <v>100</v>
      </c>
      <c r="L91" s="3">
        <v>12</v>
      </c>
      <c r="M91" s="3">
        <v>3</v>
      </c>
      <c r="N91" t="s">
        <v>52</v>
      </c>
      <c r="O91">
        <f t="shared" si="4"/>
        <v>-9</v>
      </c>
      <c r="P91" t="str">
        <f>IF(Calculation[[#This Row],[Completion Date]]=Calculation[[#This Row],[Progress %]],"In progress",IF(Calculation[[#This Row],[Completion Date]]&gt;Calculation[[#This Row],[Due Date]],"Delayed","Completed"))</f>
        <v>Delayed</v>
      </c>
      <c r="Q91" s="3">
        <f>IF(Calculation[[#This Row],[Task Status]]="Completed",100,IF(Calculation[[#This Row],[Task Status]]="In Progress",50,0))</f>
        <v>0</v>
      </c>
      <c r="R91" s="3" t="str">
        <f>IF(Calculation[[#This Row],[Completion Date]]&gt;Calculation[[#This Row],[Due Date]],"Yes","No")</f>
        <v>Yes</v>
      </c>
      <c r="S91" s="3">
        <f t="shared" si="3"/>
        <v>3</v>
      </c>
      <c r="T91" s="3" t="str">
        <f ca="1">IF(AND(Calculation[[#This Row],[Task Status]]&lt;&gt;"Completed",TODAY()&gt;Calculation[[#This Row],[Due Date]]),"Yes","No")</f>
        <v>Yes</v>
      </c>
    </row>
    <row r="92" spans="1:20" x14ac:dyDescent="0.3">
      <c r="A92" t="s">
        <v>159</v>
      </c>
      <c r="B92" t="s">
        <v>17</v>
      </c>
      <c r="C92" t="s">
        <v>18</v>
      </c>
      <c r="D92" t="s">
        <v>19</v>
      </c>
      <c r="E92" t="s">
        <v>20</v>
      </c>
      <c r="F92" t="s">
        <v>21</v>
      </c>
      <c r="G92" t="s">
        <v>22</v>
      </c>
      <c r="H92" s="1">
        <v>46113</v>
      </c>
      <c r="I92" s="1">
        <v>46027</v>
      </c>
      <c r="J92" s="1">
        <v>46116</v>
      </c>
      <c r="K92" s="3">
        <v>99</v>
      </c>
      <c r="L92" s="3">
        <v>13</v>
      </c>
      <c r="M92" s="3">
        <v>7</v>
      </c>
      <c r="N92" t="s">
        <v>24</v>
      </c>
      <c r="O92">
        <f t="shared" si="4"/>
        <v>-6</v>
      </c>
      <c r="P92" t="str">
        <f>IF(Calculation[[#This Row],[Completion Date]]=Calculation[[#This Row],[Progress %]],"In progress",IF(Calculation[[#This Row],[Completion Date]]&gt;Calculation[[#This Row],[Due Date]],"Delayed","Completed"))</f>
        <v>Delayed</v>
      </c>
      <c r="Q92" s="3">
        <f>IF(Calculation[[#This Row],[Task Status]]="Completed",100,IF(Calculation[[#This Row],[Task Status]]="In Progress",50,0))</f>
        <v>0</v>
      </c>
      <c r="R92" s="3" t="str">
        <f>IF(Calculation[[#This Row],[Completion Date]]&gt;Calculation[[#This Row],[Due Date]],"Yes","No")</f>
        <v>Yes</v>
      </c>
      <c r="S92" s="3">
        <f t="shared" si="3"/>
        <v>3</v>
      </c>
      <c r="T92" s="3" t="str">
        <f ca="1">IF(AND(Calculation[[#This Row],[Task Status]]&lt;&gt;"Completed",TODAY()&gt;Calculation[[#This Row],[Due Date]]),"Yes","No")</f>
        <v>Yes</v>
      </c>
    </row>
    <row r="93" spans="1:20" x14ac:dyDescent="0.3">
      <c r="A93" t="s">
        <v>160</v>
      </c>
      <c r="B93" t="s">
        <v>17</v>
      </c>
      <c r="C93" t="s">
        <v>18</v>
      </c>
      <c r="D93" t="s">
        <v>26</v>
      </c>
      <c r="E93" t="s">
        <v>27</v>
      </c>
      <c r="F93" t="s">
        <v>28</v>
      </c>
      <c r="G93" t="s">
        <v>29</v>
      </c>
      <c r="H93" s="1">
        <v>46114</v>
      </c>
      <c r="I93" s="1">
        <v>46028</v>
      </c>
      <c r="J93" s="1">
        <v>46117</v>
      </c>
      <c r="K93" s="3">
        <v>86</v>
      </c>
      <c r="L93" s="3">
        <v>12</v>
      </c>
      <c r="M93" s="3">
        <v>8</v>
      </c>
      <c r="N93" t="s">
        <v>30</v>
      </c>
      <c r="O93">
        <f t="shared" si="4"/>
        <v>-4</v>
      </c>
      <c r="P93" t="str">
        <f>IF(Calculation[[#This Row],[Completion Date]]=Calculation[[#This Row],[Progress %]],"In progress",IF(Calculation[[#This Row],[Completion Date]]&gt;Calculation[[#This Row],[Due Date]],"Delayed","Completed"))</f>
        <v>Delayed</v>
      </c>
      <c r="Q93" s="3">
        <f>IF(Calculation[[#This Row],[Task Status]]="Completed",100,IF(Calculation[[#This Row],[Task Status]]="In Progress",50,0))</f>
        <v>0</v>
      </c>
      <c r="R93" s="3" t="str">
        <f>IF(Calculation[[#This Row],[Completion Date]]&gt;Calculation[[#This Row],[Due Date]],"Yes","No")</f>
        <v>Yes</v>
      </c>
      <c r="S93" s="3">
        <f t="shared" si="3"/>
        <v>3</v>
      </c>
      <c r="T93" s="3" t="str">
        <f ca="1">IF(AND(Calculation[[#This Row],[Task Status]]&lt;&gt;"Completed",TODAY()&gt;Calculation[[#This Row],[Due Date]]),"Yes","No")</f>
        <v>Yes</v>
      </c>
    </row>
    <row r="94" spans="1:20" x14ac:dyDescent="0.3">
      <c r="A94" t="s">
        <v>161</v>
      </c>
      <c r="B94" t="s">
        <v>32</v>
      </c>
      <c r="C94" t="s">
        <v>33</v>
      </c>
      <c r="D94" t="s">
        <v>34</v>
      </c>
      <c r="E94" t="s">
        <v>35</v>
      </c>
      <c r="F94" t="s">
        <v>21</v>
      </c>
      <c r="G94" t="s">
        <v>36</v>
      </c>
      <c r="H94" s="1">
        <v>46115</v>
      </c>
      <c r="I94" s="1">
        <v>46030</v>
      </c>
      <c r="J94" s="1">
        <v>46118</v>
      </c>
      <c r="K94" s="3">
        <v>38.919540229885101</v>
      </c>
      <c r="L94" s="3">
        <v>15</v>
      </c>
      <c r="M94" s="3">
        <v>9</v>
      </c>
      <c r="N94" t="s">
        <v>37</v>
      </c>
      <c r="O94">
        <f t="shared" si="4"/>
        <v>-6</v>
      </c>
      <c r="P94" t="str">
        <f>IF(Calculation[[#This Row],[Completion Date]]=Calculation[[#This Row],[Progress %]],"In progress",IF(Calculation[[#This Row],[Completion Date]]&gt;Calculation[[#This Row],[Due Date]],"Delayed","Completed"))</f>
        <v>Delayed</v>
      </c>
      <c r="Q94" s="3">
        <f>IF(Calculation[[#This Row],[Task Status]]="Completed",100,IF(Calculation[[#This Row],[Task Status]]="In Progress",50,0))</f>
        <v>0</v>
      </c>
      <c r="R94" s="3" t="str">
        <f>IF(Calculation[[#This Row],[Completion Date]]&gt;Calculation[[#This Row],[Due Date]],"Yes","No")</f>
        <v>Yes</v>
      </c>
      <c r="S94" s="3">
        <f t="shared" si="3"/>
        <v>3</v>
      </c>
      <c r="T94" s="3" t="str">
        <f ca="1">IF(AND(Calculation[[#This Row],[Task Status]]&lt;&gt;"Completed",TODAY()&gt;Calculation[[#This Row],[Due Date]]),"Yes","No")</f>
        <v>Yes</v>
      </c>
    </row>
    <row r="95" spans="1:20" x14ac:dyDescent="0.3">
      <c r="A95" t="s">
        <v>162</v>
      </c>
      <c r="B95" t="s">
        <v>39</v>
      </c>
      <c r="C95" t="s">
        <v>40</v>
      </c>
      <c r="D95" t="s">
        <v>41</v>
      </c>
      <c r="E95" t="s">
        <v>42</v>
      </c>
      <c r="F95" t="s">
        <v>43</v>
      </c>
      <c r="G95" t="s">
        <v>44</v>
      </c>
      <c r="H95" s="1">
        <v>46116</v>
      </c>
      <c r="I95" s="1">
        <v>46032</v>
      </c>
      <c r="J95" s="1">
        <v>46119</v>
      </c>
      <c r="K95" s="3">
        <v>45</v>
      </c>
      <c r="L95" s="3">
        <v>3</v>
      </c>
      <c r="M95" s="3">
        <v>4</v>
      </c>
      <c r="N95" t="s">
        <v>45</v>
      </c>
      <c r="O95">
        <f t="shared" si="4"/>
        <v>1</v>
      </c>
      <c r="P95" t="str">
        <f>IF(Calculation[[#This Row],[Completion Date]]=Calculation[[#This Row],[Progress %]],"In progress",IF(Calculation[[#This Row],[Completion Date]]&gt;Calculation[[#This Row],[Due Date]],"Delayed","Completed"))</f>
        <v>Delayed</v>
      </c>
      <c r="Q95" s="3">
        <f>IF(Calculation[[#This Row],[Task Status]]="Completed",100,IF(Calculation[[#This Row],[Task Status]]="In Progress",50,0))</f>
        <v>0</v>
      </c>
      <c r="R95" s="3" t="str">
        <f>IF(Calculation[[#This Row],[Completion Date]]&gt;Calculation[[#This Row],[Due Date]],"Yes","No")</f>
        <v>Yes</v>
      </c>
      <c r="S95" s="3">
        <f t="shared" si="3"/>
        <v>3</v>
      </c>
      <c r="T95" s="3" t="str">
        <f ca="1">IF(AND(Calculation[[#This Row],[Task Status]]&lt;&gt;"Completed",TODAY()&gt;Calculation[[#This Row],[Due Date]]),"Yes","No")</f>
        <v>Yes</v>
      </c>
    </row>
    <row r="96" spans="1:20" x14ac:dyDescent="0.3">
      <c r="A96" t="s">
        <v>163</v>
      </c>
      <c r="B96" t="s">
        <v>47</v>
      </c>
      <c r="C96" t="s">
        <v>48</v>
      </c>
      <c r="D96" t="s">
        <v>49</v>
      </c>
      <c r="E96" t="s">
        <v>50</v>
      </c>
      <c r="F96" t="s">
        <v>21</v>
      </c>
      <c r="G96" t="s">
        <v>51</v>
      </c>
      <c r="H96" s="1">
        <v>46117</v>
      </c>
      <c r="I96" s="1">
        <v>46031</v>
      </c>
      <c r="J96" s="1">
        <v>46120</v>
      </c>
      <c r="K96" s="3">
        <v>38.470152020763898</v>
      </c>
      <c r="L96" s="3">
        <v>6</v>
      </c>
      <c r="M96" s="3">
        <v>5</v>
      </c>
      <c r="N96" t="s">
        <v>52</v>
      </c>
      <c r="O96">
        <f t="shared" si="4"/>
        <v>-1</v>
      </c>
      <c r="P96" t="str">
        <f>IF(Calculation[[#This Row],[Completion Date]]=Calculation[[#This Row],[Progress %]],"In progress",IF(Calculation[[#This Row],[Completion Date]]&gt;Calculation[[#This Row],[Due Date]],"Delayed","Completed"))</f>
        <v>Delayed</v>
      </c>
      <c r="Q96" s="3">
        <f>IF(Calculation[[#This Row],[Task Status]]="Completed",100,IF(Calculation[[#This Row],[Task Status]]="In Progress",50,0))</f>
        <v>0</v>
      </c>
      <c r="R96" s="3" t="str">
        <f>IF(Calculation[[#This Row],[Completion Date]]&gt;Calculation[[#This Row],[Due Date]],"Yes","No")</f>
        <v>Yes</v>
      </c>
      <c r="S96" s="3">
        <f t="shared" si="3"/>
        <v>3</v>
      </c>
      <c r="T96" s="3" t="str">
        <f ca="1">IF(AND(Calculation[[#This Row],[Task Status]]&lt;&gt;"Completed",TODAY()&gt;Calculation[[#This Row],[Due Date]]),"Yes","No")</f>
        <v>Yes</v>
      </c>
    </row>
    <row r="97" spans="1:20" x14ac:dyDescent="0.3">
      <c r="A97" t="s">
        <v>164</v>
      </c>
      <c r="B97" t="s">
        <v>54</v>
      </c>
      <c r="C97" t="s">
        <v>18</v>
      </c>
      <c r="D97" t="s">
        <v>55</v>
      </c>
      <c r="E97" t="s">
        <v>20</v>
      </c>
      <c r="F97" t="s">
        <v>21</v>
      </c>
      <c r="G97" t="s">
        <v>56</v>
      </c>
      <c r="H97" s="1">
        <v>46118</v>
      </c>
      <c r="I97" s="1">
        <v>46034</v>
      </c>
      <c r="J97" s="1">
        <v>46121</v>
      </c>
      <c r="K97" s="3">
        <v>38.2454579162033</v>
      </c>
      <c r="L97" s="3">
        <v>4.9560252131998501</v>
      </c>
      <c r="M97" s="3">
        <v>6</v>
      </c>
      <c r="N97" t="s">
        <v>37</v>
      </c>
      <c r="O97">
        <f t="shared" si="4"/>
        <v>1.0439747868001499</v>
      </c>
      <c r="P97" t="str">
        <f>IF(Calculation[[#This Row],[Completion Date]]=Calculation[[#This Row],[Progress %]],"In progress",IF(Calculation[[#This Row],[Completion Date]]&gt;Calculation[[#This Row],[Due Date]],"Delayed","Completed"))</f>
        <v>Delayed</v>
      </c>
      <c r="Q97" s="3">
        <f>IF(Calculation[[#This Row],[Task Status]]="Completed",100,IF(Calculation[[#This Row],[Task Status]]="In Progress",50,0))</f>
        <v>0</v>
      </c>
      <c r="R97" s="3" t="str">
        <f>IF(Calculation[[#This Row],[Completion Date]]&gt;Calculation[[#This Row],[Due Date]],"Yes","No")</f>
        <v>Yes</v>
      </c>
      <c r="S97" s="3">
        <f t="shared" si="3"/>
        <v>3</v>
      </c>
      <c r="T97" s="3" t="str">
        <f ca="1">IF(AND(Calculation[[#This Row],[Task Status]]&lt;&gt;"Completed",TODAY()&gt;Calculation[[#This Row],[Due Date]]),"Yes","No")</f>
        <v>Yes</v>
      </c>
    </row>
    <row r="98" spans="1:20" x14ac:dyDescent="0.3">
      <c r="A98" t="s">
        <v>165</v>
      </c>
      <c r="B98" t="s">
        <v>58</v>
      </c>
      <c r="C98" t="s">
        <v>33</v>
      </c>
      <c r="D98" t="s">
        <v>59</v>
      </c>
      <c r="E98" t="s">
        <v>35</v>
      </c>
      <c r="F98" t="s">
        <v>28</v>
      </c>
      <c r="G98" t="s">
        <v>60</v>
      </c>
      <c r="H98" s="1">
        <v>46119</v>
      </c>
      <c r="I98" s="1">
        <v>46036</v>
      </c>
      <c r="J98" s="1">
        <v>46122</v>
      </c>
      <c r="K98" s="3">
        <v>6</v>
      </c>
      <c r="L98" s="3">
        <v>7</v>
      </c>
      <c r="M98" s="3">
        <v>8</v>
      </c>
      <c r="N98" t="s">
        <v>45</v>
      </c>
      <c r="O98">
        <f t="shared" si="4"/>
        <v>1</v>
      </c>
      <c r="P98" t="str">
        <f>IF(Calculation[[#This Row],[Completion Date]]=Calculation[[#This Row],[Progress %]],"In progress",IF(Calculation[[#This Row],[Completion Date]]&gt;Calculation[[#This Row],[Due Date]],"Delayed","Completed"))</f>
        <v>Delayed</v>
      </c>
      <c r="Q98" s="3">
        <f>IF(Calculation[[#This Row],[Task Status]]="Completed",100,IF(Calculation[[#This Row],[Task Status]]="In Progress",50,0))</f>
        <v>0</v>
      </c>
      <c r="R98" s="3" t="str">
        <f>IF(Calculation[[#This Row],[Completion Date]]&gt;Calculation[[#This Row],[Due Date]],"Yes","No")</f>
        <v>Yes</v>
      </c>
      <c r="S98" s="3">
        <f t="shared" si="3"/>
        <v>3</v>
      </c>
      <c r="T98" s="3" t="str">
        <f ca="1">IF(AND(Calculation[[#This Row],[Task Status]]&lt;&gt;"Completed",TODAY()&gt;Calculation[[#This Row],[Due Date]]),"Yes","No")</f>
        <v>Yes</v>
      </c>
    </row>
    <row r="99" spans="1:20" x14ac:dyDescent="0.3">
      <c r="A99" t="s">
        <v>166</v>
      </c>
      <c r="B99" t="s">
        <v>62</v>
      </c>
      <c r="C99" t="s">
        <v>40</v>
      </c>
      <c r="D99" t="s">
        <v>63</v>
      </c>
      <c r="E99" t="s">
        <v>64</v>
      </c>
      <c r="F99" t="s">
        <v>21</v>
      </c>
      <c r="G99" t="s">
        <v>65</v>
      </c>
      <c r="H99" s="1">
        <v>46120</v>
      </c>
      <c r="I99" s="1">
        <v>46035</v>
      </c>
      <c r="J99" s="1">
        <v>46123</v>
      </c>
      <c r="K99" s="3">
        <v>98</v>
      </c>
      <c r="L99" s="3">
        <v>8</v>
      </c>
      <c r="M99" s="3">
        <v>1</v>
      </c>
      <c r="N99" t="s">
        <v>52</v>
      </c>
      <c r="O99">
        <f t="shared" si="4"/>
        <v>-7</v>
      </c>
      <c r="P99" t="str">
        <f>IF(Calculation[[#This Row],[Completion Date]]=Calculation[[#This Row],[Progress %]],"In progress",IF(Calculation[[#This Row],[Completion Date]]&gt;Calculation[[#This Row],[Due Date]],"Delayed","Completed"))</f>
        <v>Delayed</v>
      </c>
      <c r="Q99" s="3">
        <f>IF(Calculation[[#This Row],[Task Status]]="Completed",100,IF(Calculation[[#This Row],[Task Status]]="In Progress",50,0))</f>
        <v>0</v>
      </c>
      <c r="R99" s="3" t="str">
        <f>IF(Calculation[[#This Row],[Completion Date]]&gt;Calculation[[#This Row],[Due Date]],"Yes","No")</f>
        <v>Yes</v>
      </c>
      <c r="S99" s="3">
        <f t="shared" si="3"/>
        <v>3</v>
      </c>
      <c r="T99" s="3" t="str">
        <f ca="1">IF(AND(Calculation[[#This Row],[Task Status]]&lt;&gt;"Completed",TODAY()&gt;Calculation[[#This Row],[Due Date]]),"Yes","No")</f>
        <v>Yes</v>
      </c>
    </row>
    <row r="100" spans="1:20" x14ac:dyDescent="0.3">
      <c r="A100" t="s">
        <v>167</v>
      </c>
      <c r="B100" t="s">
        <v>67</v>
      </c>
      <c r="C100" t="s">
        <v>48</v>
      </c>
      <c r="D100" t="s">
        <v>68</v>
      </c>
      <c r="E100" t="s">
        <v>64</v>
      </c>
      <c r="F100" t="s">
        <v>21</v>
      </c>
      <c r="G100" t="s">
        <v>36</v>
      </c>
      <c r="H100" s="1">
        <v>46121</v>
      </c>
      <c r="I100" s="1">
        <v>46037</v>
      </c>
      <c r="J100" s="1">
        <v>46124</v>
      </c>
      <c r="K100" s="3">
        <v>45</v>
      </c>
      <c r="L100" s="3">
        <v>9</v>
      </c>
      <c r="M100" s="3">
        <v>11</v>
      </c>
      <c r="N100" t="s">
        <v>37</v>
      </c>
      <c r="O100">
        <f t="shared" si="4"/>
        <v>2</v>
      </c>
      <c r="P100" t="str">
        <f>IF(Calculation[[#This Row],[Completion Date]]=Calculation[[#This Row],[Progress %]],"In progress",IF(Calculation[[#This Row],[Completion Date]]&gt;Calculation[[#This Row],[Due Date]],"Delayed","Completed"))</f>
        <v>Delayed</v>
      </c>
      <c r="Q100" s="3">
        <f>IF(Calculation[[#This Row],[Task Status]]="Completed",100,IF(Calculation[[#This Row],[Task Status]]="In Progress",50,0))</f>
        <v>0</v>
      </c>
      <c r="R100" s="3" t="str">
        <f>IF(Calculation[[#This Row],[Completion Date]]&gt;Calculation[[#This Row],[Due Date]],"Yes","No")</f>
        <v>Yes</v>
      </c>
      <c r="S100" s="3">
        <f t="shared" si="3"/>
        <v>3</v>
      </c>
      <c r="T100" s="3" t="str">
        <f ca="1">IF(AND(Calculation[[#This Row],[Task Status]]&lt;&gt;"Completed",TODAY()&gt;Calculation[[#This Row],[Due Date]]),"Yes","No")</f>
        <v>Yes</v>
      </c>
    </row>
    <row r="101" spans="1:20" x14ac:dyDescent="0.3">
      <c r="A101" t="s">
        <v>168</v>
      </c>
      <c r="B101" t="s">
        <v>17</v>
      </c>
      <c r="C101" t="s">
        <v>18</v>
      </c>
      <c r="D101" t="s">
        <v>19</v>
      </c>
      <c r="E101" t="s">
        <v>20</v>
      </c>
      <c r="F101" t="s">
        <v>28</v>
      </c>
      <c r="G101" t="s">
        <v>70</v>
      </c>
      <c r="H101" s="1">
        <v>46122</v>
      </c>
      <c r="I101" s="1">
        <v>46038</v>
      </c>
      <c r="J101" s="1">
        <v>46125</v>
      </c>
      <c r="K101" s="3">
        <v>66</v>
      </c>
      <c r="L101" s="3">
        <v>11</v>
      </c>
      <c r="M101" s="3">
        <v>8</v>
      </c>
      <c r="N101" t="s">
        <v>37</v>
      </c>
      <c r="O101">
        <f t="shared" si="4"/>
        <v>-3</v>
      </c>
      <c r="P101" t="str">
        <f>IF(Calculation[[#This Row],[Completion Date]]=Calculation[[#This Row],[Progress %]],"In progress",IF(Calculation[[#This Row],[Completion Date]]&gt;Calculation[[#This Row],[Due Date]],"Delayed","Completed"))</f>
        <v>Delayed</v>
      </c>
      <c r="Q101" s="3">
        <f>IF(Calculation[[#This Row],[Task Status]]="Completed",100,IF(Calculation[[#This Row],[Task Status]]="In Progress",50,0))</f>
        <v>0</v>
      </c>
      <c r="R101" s="3" t="str">
        <f>IF(Calculation[[#This Row],[Completion Date]]&gt;Calculation[[#This Row],[Due Date]],"Yes","No")</f>
        <v>Yes</v>
      </c>
      <c r="S101" s="3">
        <f t="shared" si="3"/>
        <v>3</v>
      </c>
      <c r="T101" s="3" t="str">
        <f ca="1">IF(AND(Calculation[[#This Row],[Task Status]]&lt;&gt;"Completed",TODAY()&gt;Calculation[[#This Row],[Due Date]]),"Yes","No")</f>
        <v>Yes</v>
      </c>
    </row>
    <row r="102" spans="1:20" x14ac:dyDescent="0.3">
      <c r="H102" s="1"/>
      <c r="I102" s="1"/>
      <c r="K102" s="3"/>
      <c r="L102" s="3"/>
      <c r="M102" s="3"/>
      <c r="P102" s="2"/>
      <c r="Q102" s="3"/>
      <c r="R102" s="3"/>
      <c r="S102" s="3"/>
      <c r="T102" s="3"/>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6E853-41C9-436A-9607-D69D78F5DA39}">
  <dimension ref="A1:B9"/>
  <sheetViews>
    <sheetView workbookViewId="0">
      <selection activeCell="H25" sqref="H25"/>
    </sheetView>
  </sheetViews>
  <sheetFormatPr defaultRowHeight="14.4" x14ac:dyDescent="0.3"/>
  <cols>
    <col min="1" max="1" width="21.5546875" bestFit="1" customWidth="1"/>
  </cols>
  <sheetData>
    <row r="1" spans="1:2" x14ac:dyDescent="0.3">
      <c r="A1" t="s">
        <v>174</v>
      </c>
      <c r="B1" t="s">
        <v>183</v>
      </c>
    </row>
    <row r="2" spans="1:2" x14ac:dyDescent="0.3">
      <c r="A2" t="s">
        <v>175</v>
      </c>
      <c r="B2">
        <f>COUNTA('Calculation'!A:A)</f>
        <v>101</v>
      </c>
    </row>
    <row r="3" spans="1:2" x14ac:dyDescent="0.3">
      <c r="A3" t="s">
        <v>176</v>
      </c>
      <c r="B3">
        <f>COUNTIFS('Calculation'!P:P,"Completed")</f>
        <v>30</v>
      </c>
    </row>
    <row r="4" spans="1:2" x14ac:dyDescent="0.3">
      <c r="A4" t="s">
        <v>177</v>
      </c>
      <c r="B4">
        <f xml:space="preserve"> COUNTIFS('Calculation'!P:P,"In Progress")+COUNTIFS(P:P,"Not Started")</f>
        <v>0</v>
      </c>
    </row>
    <row r="5" spans="1:2" x14ac:dyDescent="0.3">
      <c r="A5" t="s">
        <v>178</v>
      </c>
      <c r="B5">
        <f>COUNTIFS('Calculation'!P:P,"Delayed")</f>
        <v>70</v>
      </c>
    </row>
    <row r="6" spans="1:2" x14ac:dyDescent="0.3">
      <c r="A6" t="s">
        <v>179</v>
      </c>
      <c r="B6">
        <f>B3/B2</f>
        <v>0.29702970297029702</v>
      </c>
    </row>
    <row r="7" spans="1:2" x14ac:dyDescent="0.3">
      <c r="A7" t="s">
        <v>180</v>
      </c>
      <c r="B7">
        <f>COUNTIFS('Calculation'!F:F,"High")</f>
        <v>51</v>
      </c>
    </row>
    <row r="8" spans="1:2" x14ac:dyDescent="0.3">
      <c r="A8" t="s">
        <v>181</v>
      </c>
      <c r="B8">
        <f>AVERAGE('Calculation'!S:S)</f>
        <v>3</v>
      </c>
    </row>
    <row r="9" spans="1:2" x14ac:dyDescent="0.3">
      <c r="A9" t="s">
        <v>182</v>
      </c>
      <c r="B9">
        <f>B3/B2</f>
        <v>0.29702970297029702</v>
      </c>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36840-D376-45A9-9E1F-327739668203}">
  <dimension ref="A1:K25"/>
  <sheetViews>
    <sheetView workbookViewId="0">
      <selection activeCell="M18" sqref="M18"/>
    </sheetView>
  </sheetViews>
  <sheetFormatPr defaultRowHeight="14.4" x14ac:dyDescent="0.3"/>
  <cols>
    <col min="1" max="1" width="12.44140625" bestFit="1" customWidth="1"/>
    <col min="2" max="2" width="14.109375" bestFit="1" customWidth="1"/>
    <col min="4" max="4" width="27.5546875" bestFit="1" customWidth="1"/>
    <col min="6" max="6" width="17.5546875" bestFit="1" customWidth="1"/>
    <col min="7" max="7" width="19" bestFit="1" customWidth="1"/>
    <col min="8" max="8" width="14.109375" bestFit="1" customWidth="1"/>
    <col min="10" max="10" width="12.44140625" bestFit="1" customWidth="1"/>
    <col min="11" max="11" width="14.109375" bestFit="1" customWidth="1"/>
    <col min="12" max="12" width="12.44140625" bestFit="1" customWidth="1"/>
    <col min="13" max="13" width="14.109375" bestFit="1" customWidth="1"/>
  </cols>
  <sheetData>
    <row r="1" spans="1:11" ht="21" x14ac:dyDescent="0.4">
      <c r="A1" s="7" t="s">
        <v>191</v>
      </c>
      <c r="D1" s="7" t="s">
        <v>192</v>
      </c>
      <c r="G1" s="7" t="s">
        <v>194</v>
      </c>
      <c r="H1" s="7"/>
      <c r="J1" s="7" t="s">
        <v>193</v>
      </c>
      <c r="K1" s="7"/>
    </row>
    <row r="2" spans="1:11" x14ac:dyDescent="0.3">
      <c r="A2" s="4" t="s">
        <v>10</v>
      </c>
      <c r="B2" t="s">
        <v>187</v>
      </c>
      <c r="D2" s="4" t="s">
        <v>2</v>
      </c>
      <c r="E2" t="s">
        <v>187</v>
      </c>
      <c r="G2" s="4" t="s">
        <v>201</v>
      </c>
      <c r="H2" t="s">
        <v>187</v>
      </c>
      <c r="J2" s="4" t="s">
        <v>10</v>
      </c>
      <c r="K2" t="s">
        <v>189</v>
      </c>
    </row>
    <row r="3" spans="1:11" x14ac:dyDescent="0.3">
      <c r="A3" s="5" t="s">
        <v>23</v>
      </c>
      <c r="B3" s="2">
        <v>82</v>
      </c>
      <c r="D3" s="5" t="s">
        <v>40</v>
      </c>
      <c r="E3" s="2">
        <v>20</v>
      </c>
      <c r="G3" s="5" t="s">
        <v>21</v>
      </c>
      <c r="H3" s="2">
        <v>51</v>
      </c>
    </row>
    <row r="4" spans="1:11" x14ac:dyDescent="0.3">
      <c r="A4" s="5" t="s">
        <v>30</v>
      </c>
      <c r="B4" s="2">
        <v>10</v>
      </c>
      <c r="D4" s="5" t="s">
        <v>18</v>
      </c>
      <c r="E4" s="2">
        <v>37</v>
      </c>
      <c r="G4" s="5" t="s">
        <v>43</v>
      </c>
      <c r="H4" s="2">
        <v>16</v>
      </c>
      <c r="J4" s="4" t="s">
        <v>3</v>
      </c>
      <c r="K4" t="s">
        <v>187</v>
      </c>
    </row>
    <row r="5" spans="1:11" x14ac:dyDescent="0.3">
      <c r="A5" s="5" t="s">
        <v>185</v>
      </c>
      <c r="B5" s="2">
        <v>8</v>
      </c>
      <c r="D5" s="5" t="s">
        <v>33</v>
      </c>
      <c r="E5" s="2">
        <v>23</v>
      </c>
      <c r="G5" s="5" t="s">
        <v>28</v>
      </c>
      <c r="H5" s="2">
        <v>33</v>
      </c>
      <c r="J5" s="5" t="s">
        <v>63</v>
      </c>
      <c r="K5" s="2">
        <v>10</v>
      </c>
    </row>
    <row r="6" spans="1:11" x14ac:dyDescent="0.3">
      <c r="A6" s="5" t="s">
        <v>186</v>
      </c>
      <c r="B6" s="2">
        <v>100</v>
      </c>
      <c r="D6" s="5" t="s">
        <v>48</v>
      </c>
      <c r="E6" s="2">
        <v>20</v>
      </c>
      <c r="G6" s="5" t="s">
        <v>188</v>
      </c>
      <c r="H6" s="2"/>
      <c r="J6" s="5" t="s">
        <v>49</v>
      </c>
      <c r="K6" s="2">
        <v>10</v>
      </c>
    </row>
    <row r="7" spans="1:11" x14ac:dyDescent="0.3">
      <c r="D7" s="5" t="s">
        <v>188</v>
      </c>
      <c r="E7" s="2"/>
      <c r="G7" s="5" t="s">
        <v>186</v>
      </c>
      <c r="H7" s="2">
        <v>100</v>
      </c>
      <c r="J7" s="5" t="s">
        <v>68</v>
      </c>
      <c r="K7" s="2">
        <v>10</v>
      </c>
    </row>
    <row r="8" spans="1:11" x14ac:dyDescent="0.3">
      <c r="D8" s="5" t="s">
        <v>186</v>
      </c>
      <c r="E8" s="2">
        <v>100</v>
      </c>
      <c r="J8" s="5" t="s">
        <v>55</v>
      </c>
      <c r="K8" s="2">
        <v>10</v>
      </c>
    </row>
    <row r="9" spans="1:11" x14ac:dyDescent="0.3">
      <c r="J9" s="5" t="s">
        <v>59</v>
      </c>
      <c r="K9" s="2">
        <v>10</v>
      </c>
    </row>
    <row r="10" spans="1:11" ht="21" x14ac:dyDescent="0.4">
      <c r="A10" s="7" t="s">
        <v>200</v>
      </c>
      <c r="B10" s="7"/>
      <c r="D10" s="7" t="s">
        <v>195</v>
      </c>
      <c r="E10" s="7"/>
      <c r="G10" s="7" t="s">
        <v>196</v>
      </c>
      <c r="H10" s="7"/>
      <c r="J10" s="5" t="s">
        <v>41</v>
      </c>
      <c r="K10" s="2">
        <v>10</v>
      </c>
    </row>
    <row r="11" spans="1:11" x14ac:dyDescent="0.3">
      <c r="A11" s="4" t="s">
        <v>184</v>
      </c>
      <c r="B11" t="s">
        <v>187</v>
      </c>
      <c r="D11" s="4" t="s">
        <v>1</v>
      </c>
      <c r="E11" t="s">
        <v>190</v>
      </c>
      <c r="G11" s="4" t="s">
        <v>10</v>
      </c>
      <c r="H11" t="s">
        <v>189</v>
      </c>
      <c r="J11" s="5" t="s">
        <v>34</v>
      </c>
      <c r="K11" s="2">
        <v>13</v>
      </c>
    </row>
    <row r="12" spans="1:11" x14ac:dyDescent="0.3">
      <c r="A12" s="5" t="s">
        <v>197</v>
      </c>
      <c r="B12" s="2">
        <v>63</v>
      </c>
      <c r="D12" s="5" t="s">
        <v>54</v>
      </c>
      <c r="E12" s="2">
        <v>55.495031516499829</v>
      </c>
      <c r="G12" s="4" t="s">
        <v>170</v>
      </c>
      <c r="H12" t="s">
        <v>189</v>
      </c>
      <c r="J12" s="5" t="s">
        <v>19</v>
      </c>
      <c r="K12" s="2">
        <v>14</v>
      </c>
    </row>
    <row r="13" spans="1:11" x14ac:dyDescent="0.3">
      <c r="A13" s="5" t="s">
        <v>198</v>
      </c>
      <c r="B13" s="2">
        <v>31</v>
      </c>
      <c r="D13" s="5" t="s">
        <v>58</v>
      </c>
      <c r="E13" s="2">
        <v>21.6</v>
      </c>
      <c r="J13" s="5" t="s">
        <v>26</v>
      </c>
      <c r="K13" s="2">
        <v>13</v>
      </c>
    </row>
    <row r="14" spans="1:11" x14ac:dyDescent="0.3">
      <c r="A14" s="5" t="s">
        <v>199</v>
      </c>
      <c r="B14" s="2">
        <v>6</v>
      </c>
      <c r="D14" s="5" t="s">
        <v>39</v>
      </c>
      <c r="E14" s="2">
        <v>45.7</v>
      </c>
      <c r="G14" s="4" t="s">
        <v>3</v>
      </c>
      <c r="H14" t="s">
        <v>187</v>
      </c>
      <c r="J14" s="5" t="s">
        <v>188</v>
      </c>
      <c r="K14" s="2"/>
    </row>
    <row r="15" spans="1:11" x14ac:dyDescent="0.3">
      <c r="A15" s="5" t="s">
        <v>186</v>
      </c>
      <c r="B15" s="2">
        <v>100</v>
      </c>
      <c r="D15" s="5" t="s">
        <v>32</v>
      </c>
      <c r="E15" s="2">
        <v>59.763041556145012</v>
      </c>
      <c r="G15" s="5" t="s">
        <v>63</v>
      </c>
      <c r="H15" s="2">
        <v>10</v>
      </c>
      <c r="J15" s="5" t="s">
        <v>186</v>
      </c>
      <c r="K15" s="2">
        <v>100</v>
      </c>
    </row>
    <row r="16" spans="1:11" x14ac:dyDescent="0.3">
      <c r="D16" s="5" t="s">
        <v>62</v>
      </c>
      <c r="E16" s="2">
        <v>84.548869113830193</v>
      </c>
      <c r="G16" s="5" t="s">
        <v>49</v>
      </c>
      <c r="H16" s="2">
        <v>10</v>
      </c>
    </row>
    <row r="17" spans="4:8" x14ac:dyDescent="0.3">
      <c r="D17" s="5" t="s">
        <v>47</v>
      </c>
      <c r="E17" s="2">
        <v>47.547015202076395</v>
      </c>
      <c r="G17" s="5" t="s">
        <v>68</v>
      </c>
      <c r="H17" s="2">
        <v>10</v>
      </c>
    </row>
    <row r="18" spans="4:8" x14ac:dyDescent="0.3">
      <c r="D18" s="5" t="s">
        <v>67</v>
      </c>
      <c r="E18" s="2">
        <v>50.7</v>
      </c>
      <c r="G18" s="5" t="s">
        <v>55</v>
      </c>
      <c r="H18" s="2">
        <v>10</v>
      </c>
    </row>
    <row r="19" spans="4:8" x14ac:dyDescent="0.3">
      <c r="D19" s="5" t="s">
        <v>17</v>
      </c>
      <c r="E19" s="2">
        <v>43.86085679244745</v>
      </c>
      <c r="G19" s="5" t="s">
        <v>59</v>
      </c>
      <c r="H19" s="2">
        <v>10</v>
      </c>
    </row>
    <row r="20" spans="4:8" x14ac:dyDescent="0.3">
      <c r="D20" s="5" t="s">
        <v>188</v>
      </c>
      <c r="E20" s="2"/>
      <c r="G20" s="5" t="s">
        <v>41</v>
      </c>
      <c r="H20" s="2">
        <v>10</v>
      </c>
    </row>
    <row r="21" spans="4:8" x14ac:dyDescent="0.3">
      <c r="D21" s="5" t="s">
        <v>186</v>
      </c>
      <c r="E21" s="2">
        <v>50.234454294521036</v>
      </c>
      <c r="G21" s="5" t="s">
        <v>34</v>
      </c>
      <c r="H21" s="2">
        <v>13</v>
      </c>
    </row>
    <row r="22" spans="4:8" x14ac:dyDescent="0.3">
      <c r="G22" s="5" t="s">
        <v>19</v>
      </c>
      <c r="H22" s="2">
        <v>14</v>
      </c>
    </row>
    <row r="23" spans="4:8" x14ac:dyDescent="0.3">
      <c r="G23" s="5" t="s">
        <v>26</v>
      </c>
      <c r="H23" s="2">
        <v>13</v>
      </c>
    </row>
    <row r="24" spans="4:8" x14ac:dyDescent="0.3">
      <c r="G24" s="5" t="s">
        <v>188</v>
      </c>
      <c r="H24" s="2"/>
    </row>
    <row r="25" spans="4:8" x14ac:dyDescent="0.3">
      <c r="G25" s="5" t="s">
        <v>186</v>
      </c>
      <c r="H25" s="2">
        <v>100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2D2D9-0C11-4A75-9E52-A2220C364C65}">
  <dimension ref="A1:U44"/>
  <sheetViews>
    <sheetView showGridLines="0" tabSelected="1" zoomScale="94" workbookViewId="0">
      <selection activeCell="S17" sqref="S17"/>
    </sheetView>
  </sheetViews>
  <sheetFormatPr defaultRowHeight="14.4" x14ac:dyDescent="0.3"/>
  <sheetData>
    <row r="1" spans="1:21" x14ac:dyDescent="0.3">
      <c r="A1" s="6"/>
      <c r="B1" s="6"/>
      <c r="C1" s="6"/>
      <c r="D1" s="6"/>
      <c r="E1" s="6"/>
      <c r="F1" s="6"/>
      <c r="G1" s="6"/>
      <c r="H1" s="6"/>
      <c r="I1" s="6"/>
      <c r="J1" s="6"/>
      <c r="K1" s="6"/>
      <c r="L1" s="6"/>
      <c r="M1" s="6"/>
      <c r="N1" s="6"/>
      <c r="O1" s="6"/>
      <c r="P1" s="6"/>
      <c r="Q1" s="6"/>
      <c r="R1" s="6"/>
      <c r="S1" s="6"/>
      <c r="T1" s="6"/>
      <c r="U1" s="6"/>
    </row>
    <row r="2" spans="1:21" x14ac:dyDescent="0.3">
      <c r="A2" s="6"/>
      <c r="B2" s="6"/>
      <c r="C2" s="6"/>
      <c r="D2" s="6"/>
      <c r="E2" s="6"/>
      <c r="F2" s="6"/>
      <c r="G2" s="6"/>
      <c r="H2" s="6"/>
      <c r="I2" s="6"/>
      <c r="J2" s="6"/>
      <c r="K2" s="6"/>
      <c r="L2" s="6"/>
      <c r="M2" s="6"/>
      <c r="N2" s="6"/>
      <c r="O2" s="6"/>
      <c r="P2" s="6"/>
      <c r="Q2" s="6"/>
      <c r="R2" s="6"/>
      <c r="S2" s="6"/>
      <c r="T2" s="6"/>
      <c r="U2" s="6"/>
    </row>
    <row r="3" spans="1:21" x14ac:dyDescent="0.3">
      <c r="A3" s="6"/>
      <c r="B3" s="6"/>
      <c r="C3" s="6"/>
      <c r="D3" s="6"/>
      <c r="E3" s="6"/>
      <c r="F3" s="6"/>
      <c r="G3" s="6"/>
      <c r="H3" s="6"/>
      <c r="I3" s="6"/>
      <c r="J3" s="6"/>
      <c r="K3" s="6"/>
      <c r="L3" s="6"/>
      <c r="M3" s="6"/>
      <c r="N3" s="6"/>
      <c r="O3" s="6"/>
      <c r="P3" s="6"/>
      <c r="Q3" s="6"/>
      <c r="R3" s="6"/>
      <c r="S3" s="6"/>
      <c r="T3" s="6"/>
      <c r="U3" s="6"/>
    </row>
    <row r="4" spans="1:21" x14ac:dyDescent="0.3">
      <c r="A4" s="6"/>
      <c r="B4" s="6"/>
      <c r="C4" s="6"/>
      <c r="D4" s="6"/>
      <c r="E4" s="6"/>
      <c r="F4" s="6"/>
      <c r="G4" s="6"/>
      <c r="H4" s="6"/>
      <c r="I4" s="6"/>
      <c r="J4" s="6"/>
      <c r="K4" s="6"/>
      <c r="L4" s="6"/>
      <c r="M4" s="6"/>
      <c r="N4" s="6"/>
      <c r="O4" s="6"/>
      <c r="P4" s="6"/>
      <c r="Q4" s="6"/>
      <c r="R4" s="6"/>
      <c r="S4" s="6"/>
      <c r="T4" s="6"/>
      <c r="U4" s="6"/>
    </row>
    <row r="5" spans="1:21" x14ac:dyDescent="0.3">
      <c r="A5" s="6"/>
      <c r="B5" s="6"/>
      <c r="C5" s="6"/>
      <c r="D5" s="6"/>
      <c r="E5" s="6"/>
      <c r="F5" s="6"/>
      <c r="G5" s="6"/>
      <c r="H5" s="6"/>
      <c r="I5" s="6"/>
      <c r="J5" s="6"/>
      <c r="K5" s="6"/>
      <c r="L5" s="6"/>
      <c r="M5" s="6"/>
      <c r="N5" s="6"/>
      <c r="O5" s="6"/>
      <c r="P5" s="6"/>
      <c r="Q5" s="6"/>
      <c r="R5" s="6"/>
      <c r="S5" s="6"/>
      <c r="T5" s="6"/>
      <c r="U5" s="6"/>
    </row>
    <row r="6" spans="1:21" x14ac:dyDescent="0.3">
      <c r="A6" s="6"/>
      <c r="B6" s="6"/>
      <c r="C6" s="6"/>
      <c r="D6" s="6"/>
      <c r="E6" s="6"/>
      <c r="F6" s="6"/>
      <c r="G6" s="6"/>
      <c r="H6" s="6"/>
      <c r="I6" s="6"/>
      <c r="J6" s="6"/>
      <c r="K6" s="6"/>
      <c r="L6" s="6"/>
      <c r="M6" s="6"/>
      <c r="N6" s="6"/>
      <c r="O6" s="6"/>
      <c r="P6" s="6"/>
      <c r="Q6" s="6"/>
      <c r="R6" s="6"/>
      <c r="S6" s="6"/>
      <c r="T6" s="6"/>
      <c r="U6" s="6"/>
    </row>
    <row r="7" spans="1:21" x14ac:dyDescent="0.3">
      <c r="A7" s="6"/>
      <c r="B7" s="6"/>
      <c r="C7" s="6"/>
      <c r="D7" s="6"/>
      <c r="E7" s="6"/>
      <c r="F7" s="6"/>
      <c r="G7" s="6"/>
      <c r="H7" s="6"/>
      <c r="I7" s="6"/>
      <c r="J7" s="6"/>
      <c r="K7" s="6"/>
      <c r="L7" s="6"/>
      <c r="M7" s="6"/>
      <c r="N7" s="6"/>
      <c r="O7" s="6"/>
      <c r="P7" s="6"/>
      <c r="Q7" s="6"/>
      <c r="R7" s="6"/>
      <c r="S7" s="6"/>
      <c r="T7" s="6"/>
      <c r="U7" s="6"/>
    </row>
    <row r="8" spans="1:21" x14ac:dyDescent="0.3">
      <c r="A8" s="6"/>
      <c r="B8" s="6"/>
      <c r="C8" s="6"/>
      <c r="D8" s="6"/>
      <c r="E8" s="6"/>
      <c r="F8" s="6"/>
      <c r="G8" s="6"/>
      <c r="H8" s="6"/>
      <c r="I8" s="6"/>
      <c r="J8" s="6"/>
      <c r="K8" s="6"/>
      <c r="L8" s="6"/>
      <c r="M8" s="6"/>
      <c r="N8" s="6"/>
      <c r="O8" s="6"/>
      <c r="P8" s="6"/>
      <c r="Q8" s="6"/>
      <c r="R8" s="6"/>
      <c r="S8" s="6"/>
      <c r="T8" s="6"/>
      <c r="U8" s="6"/>
    </row>
    <row r="9" spans="1:21" x14ac:dyDescent="0.3">
      <c r="A9" s="6"/>
      <c r="B9" s="6"/>
      <c r="C9" s="6"/>
      <c r="D9" s="6"/>
      <c r="E9" s="6"/>
      <c r="F9" s="6"/>
      <c r="G9" s="6"/>
      <c r="H9" s="6"/>
      <c r="I9" s="6"/>
      <c r="J9" s="6"/>
      <c r="K9" s="6"/>
      <c r="L9" s="6"/>
      <c r="M9" s="6"/>
      <c r="N9" s="6"/>
      <c r="O9" s="6"/>
      <c r="P9" s="6"/>
      <c r="Q9" s="6"/>
      <c r="R9" s="6"/>
      <c r="S9" s="6"/>
      <c r="T9" s="6"/>
      <c r="U9" s="6"/>
    </row>
    <row r="10" spans="1:21" x14ac:dyDescent="0.3">
      <c r="A10" s="6"/>
      <c r="B10" s="6"/>
      <c r="C10" s="6"/>
      <c r="D10" s="6"/>
      <c r="E10" s="6"/>
      <c r="F10" s="6"/>
      <c r="G10" s="6"/>
      <c r="H10" s="6"/>
      <c r="I10" s="6"/>
      <c r="J10" s="6"/>
      <c r="K10" s="6"/>
      <c r="L10" s="6"/>
      <c r="M10" s="6"/>
      <c r="N10" s="6"/>
      <c r="O10" s="6"/>
      <c r="P10" s="6"/>
      <c r="Q10" s="6"/>
      <c r="R10" s="6"/>
      <c r="S10" s="6"/>
      <c r="T10" s="6"/>
      <c r="U10" s="6"/>
    </row>
    <row r="11" spans="1:21" x14ac:dyDescent="0.3">
      <c r="A11" s="6"/>
      <c r="B11" s="6"/>
      <c r="C11" s="6"/>
      <c r="D11" s="6"/>
      <c r="E11" s="6"/>
      <c r="F11" s="6"/>
      <c r="G11" s="6"/>
      <c r="H11" s="6"/>
      <c r="I11" s="6"/>
      <c r="J11" s="6"/>
      <c r="K11" s="6"/>
      <c r="L11" s="6"/>
      <c r="M11" s="6"/>
      <c r="N11" s="6"/>
      <c r="O11" s="6"/>
      <c r="P11" s="6"/>
      <c r="Q11" s="6"/>
      <c r="R11" s="6"/>
      <c r="S11" s="6"/>
      <c r="T11" s="6"/>
      <c r="U11" s="6"/>
    </row>
    <row r="12" spans="1:21" x14ac:dyDescent="0.3">
      <c r="A12" s="6"/>
      <c r="B12" s="6"/>
      <c r="C12" s="6"/>
      <c r="D12" s="6"/>
      <c r="E12" s="6"/>
      <c r="F12" s="6"/>
      <c r="G12" s="6"/>
      <c r="H12" s="6"/>
      <c r="I12" s="6"/>
      <c r="J12" s="6"/>
      <c r="K12" s="6"/>
      <c r="L12" s="6"/>
      <c r="M12" s="6"/>
      <c r="N12" s="6"/>
      <c r="O12" s="6"/>
      <c r="P12" s="6"/>
      <c r="Q12" s="6"/>
      <c r="R12" s="6"/>
      <c r="S12" s="6"/>
      <c r="T12" s="6"/>
      <c r="U12" s="6"/>
    </row>
    <row r="13" spans="1:21" x14ac:dyDescent="0.3">
      <c r="A13" s="6"/>
      <c r="B13" s="6"/>
      <c r="C13" s="6"/>
      <c r="D13" s="6"/>
      <c r="E13" s="6"/>
      <c r="F13" s="6"/>
      <c r="G13" s="6"/>
      <c r="H13" s="6"/>
      <c r="I13" s="6"/>
      <c r="J13" s="6"/>
      <c r="K13" s="6"/>
      <c r="L13" s="6"/>
      <c r="M13" s="6"/>
      <c r="N13" s="6"/>
      <c r="O13" s="6"/>
      <c r="P13" s="6"/>
      <c r="Q13" s="6"/>
      <c r="R13" s="6"/>
      <c r="S13" s="6"/>
      <c r="T13" s="6"/>
      <c r="U13" s="6"/>
    </row>
    <row r="14" spans="1:21" x14ac:dyDescent="0.3">
      <c r="A14" s="6"/>
      <c r="B14" s="6"/>
      <c r="C14" s="6"/>
      <c r="D14" s="6"/>
      <c r="E14" s="6"/>
      <c r="F14" s="6"/>
      <c r="G14" s="6"/>
      <c r="H14" s="6"/>
      <c r="I14" s="6"/>
      <c r="J14" s="6"/>
      <c r="K14" s="6"/>
      <c r="L14" s="6"/>
      <c r="M14" s="6"/>
      <c r="N14" s="6"/>
      <c r="O14" s="6"/>
      <c r="P14" s="6"/>
      <c r="Q14" s="6"/>
      <c r="R14" s="6"/>
      <c r="S14" s="6"/>
      <c r="T14" s="6"/>
      <c r="U14" s="6"/>
    </row>
    <row r="15" spans="1:21" x14ac:dyDescent="0.3">
      <c r="A15" s="6"/>
      <c r="B15" s="6"/>
      <c r="C15" s="6"/>
      <c r="D15" s="6"/>
      <c r="E15" s="6"/>
      <c r="F15" s="6"/>
      <c r="G15" s="6"/>
      <c r="H15" s="6"/>
      <c r="I15" s="6"/>
      <c r="J15" s="6"/>
      <c r="K15" s="6"/>
      <c r="L15" s="6"/>
      <c r="M15" s="6"/>
      <c r="N15" s="6"/>
      <c r="O15" s="6"/>
      <c r="P15" s="6"/>
      <c r="Q15" s="6"/>
      <c r="R15" s="6"/>
      <c r="S15" s="6"/>
      <c r="T15" s="6"/>
      <c r="U15" s="6"/>
    </row>
    <row r="16" spans="1:21" x14ac:dyDescent="0.3">
      <c r="A16" s="6"/>
      <c r="B16" s="6"/>
      <c r="C16" s="6"/>
      <c r="D16" s="6"/>
      <c r="E16" s="6"/>
      <c r="F16" s="6"/>
      <c r="G16" s="6"/>
      <c r="H16" s="6"/>
      <c r="I16" s="6"/>
      <c r="J16" s="6"/>
      <c r="K16" s="6"/>
      <c r="L16" s="6"/>
      <c r="M16" s="6"/>
      <c r="N16" s="6"/>
      <c r="O16" s="6"/>
      <c r="P16" s="6"/>
      <c r="Q16" s="6"/>
      <c r="R16" s="6"/>
      <c r="S16" s="6"/>
      <c r="T16" s="6"/>
      <c r="U16" s="6"/>
    </row>
    <row r="17" spans="1:21" x14ac:dyDescent="0.3">
      <c r="A17" s="6"/>
      <c r="B17" s="6"/>
      <c r="C17" s="6"/>
      <c r="D17" s="6"/>
      <c r="E17" s="6"/>
      <c r="F17" s="6"/>
      <c r="G17" s="6"/>
      <c r="H17" s="6"/>
      <c r="I17" s="6"/>
      <c r="J17" s="6"/>
      <c r="K17" s="6"/>
      <c r="L17" s="6"/>
      <c r="M17" s="6"/>
      <c r="N17" s="6"/>
      <c r="O17" s="6"/>
      <c r="P17" s="6"/>
      <c r="Q17" s="6"/>
      <c r="R17" s="6"/>
      <c r="S17" s="6"/>
      <c r="T17" s="6"/>
      <c r="U17" s="6"/>
    </row>
    <row r="18" spans="1:21" x14ac:dyDescent="0.3">
      <c r="A18" s="6"/>
      <c r="B18" s="6"/>
      <c r="C18" s="6"/>
      <c r="D18" s="6"/>
      <c r="E18" s="6"/>
      <c r="F18" s="6"/>
      <c r="G18" s="6"/>
      <c r="H18" s="6"/>
      <c r="I18" s="6"/>
      <c r="J18" s="6"/>
      <c r="K18" s="6"/>
      <c r="L18" s="6"/>
      <c r="M18" s="6"/>
      <c r="N18" s="6"/>
      <c r="O18" s="6"/>
      <c r="P18" s="6"/>
      <c r="Q18" s="6"/>
      <c r="R18" s="6"/>
      <c r="S18" s="6"/>
      <c r="T18" s="6"/>
      <c r="U18" s="6"/>
    </row>
    <row r="19" spans="1:21" x14ac:dyDescent="0.3">
      <c r="A19" s="6"/>
      <c r="B19" s="6"/>
      <c r="C19" s="6"/>
      <c r="D19" s="6"/>
      <c r="E19" s="6"/>
      <c r="F19" s="6"/>
      <c r="G19" s="6"/>
      <c r="H19" s="6"/>
      <c r="I19" s="6"/>
      <c r="J19" s="6"/>
      <c r="K19" s="6"/>
      <c r="L19" s="6"/>
      <c r="M19" s="6"/>
      <c r="N19" s="6"/>
      <c r="O19" s="6"/>
      <c r="P19" s="6"/>
      <c r="Q19" s="6"/>
      <c r="R19" s="6"/>
      <c r="S19" s="6"/>
      <c r="T19" s="6"/>
      <c r="U19" s="6"/>
    </row>
    <row r="20" spans="1:21" x14ac:dyDescent="0.3">
      <c r="A20" s="6"/>
      <c r="B20" s="6"/>
      <c r="C20" s="6"/>
      <c r="D20" s="6"/>
      <c r="E20" s="6"/>
      <c r="F20" s="6"/>
      <c r="G20" s="6"/>
      <c r="H20" s="6"/>
      <c r="I20" s="6"/>
      <c r="J20" s="6"/>
      <c r="K20" s="6"/>
      <c r="L20" s="6"/>
      <c r="M20" s="6"/>
      <c r="N20" s="6"/>
      <c r="O20" s="6"/>
      <c r="P20" s="6"/>
      <c r="Q20" s="6"/>
      <c r="R20" s="6"/>
      <c r="S20" s="6"/>
      <c r="T20" s="6"/>
      <c r="U20" s="6"/>
    </row>
    <row r="21" spans="1:21" x14ac:dyDescent="0.3">
      <c r="A21" s="6"/>
      <c r="B21" s="6"/>
      <c r="C21" s="6"/>
      <c r="D21" s="6"/>
      <c r="E21" s="6"/>
      <c r="F21" s="6"/>
      <c r="G21" s="6"/>
      <c r="H21" s="6"/>
      <c r="I21" s="6"/>
      <c r="J21" s="6"/>
      <c r="K21" s="6"/>
      <c r="L21" s="6"/>
      <c r="M21" s="6"/>
      <c r="N21" s="6"/>
      <c r="O21" s="6"/>
      <c r="P21" s="6"/>
      <c r="Q21" s="6"/>
      <c r="R21" s="6"/>
      <c r="S21" s="6"/>
      <c r="T21" s="6"/>
      <c r="U21" s="6"/>
    </row>
    <row r="22" spans="1:21" x14ac:dyDescent="0.3">
      <c r="A22" s="6"/>
      <c r="B22" s="6"/>
      <c r="C22" s="6"/>
      <c r="D22" s="6"/>
      <c r="E22" s="6"/>
      <c r="F22" s="6"/>
      <c r="G22" s="6"/>
      <c r="H22" s="6"/>
      <c r="I22" s="6"/>
      <c r="J22" s="6"/>
      <c r="K22" s="6"/>
      <c r="L22" s="6"/>
      <c r="M22" s="6"/>
      <c r="N22" s="6"/>
      <c r="O22" s="6"/>
      <c r="P22" s="6"/>
      <c r="Q22" s="6"/>
      <c r="R22" s="6"/>
      <c r="S22" s="6"/>
      <c r="T22" s="6"/>
      <c r="U22" s="6"/>
    </row>
    <row r="23" spans="1:21" x14ac:dyDescent="0.3">
      <c r="A23" s="6"/>
      <c r="B23" s="6"/>
      <c r="C23" s="6"/>
      <c r="D23" s="6"/>
      <c r="E23" s="6"/>
      <c r="F23" s="6"/>
      <c r="G23" s="6"/>
      <c r="H23" s="6"/>
      <c r="I23" s="6"/>
      <c r="J23" s="6"/>
      <c r="K23" s="6"/>
      <c r="L23" s="6"/>
      <c r="M23" s="6"/>
      <c r="N23" s="6"/>
      <c r="O23" s="6"/>
      <c r="P23" s="6"/>
      <c r="Q23" s="6"/>
      <c r="R23" s="6"/>
      <c r="S23" s="6"/>
      <c r="T23" s="6"/>
      <c r="U23" s="6"/>
    </row>
    <row r="24" spans="1:21" x14ac:dyDescent="0.3">
      <c r="A24" s="6"/>
      <c r="B24" s="6"/>
      <c r="C24" s="6"/>
      <c r="D24" s="6"/>
      <c r="E24" s="6"/>
      <c r="F24" s="6"/>
      <c r="G24" s="6"/>
      <c r="H24" s="6"/>
      <c r="I24" s="6"/>
      <c r="J24" s="6"/>
      <c r="K24" s="6"/>
      <c r="L24" s="6"/>
      <c r="M24" s="6"/>
      <c r="N24" s="6"/>
      <c r="O24" s="6"/>
      <c r="P24" s="6"/>
      <c r="Q24" s="6"/>
      <c r="R24" s="6"/>
      <c r="S24" s="6"/>
      <c r="T24" s="6"/>
      <c r="U24" s="6"/>
    </row>
    <row r="25" spans="1:21" x14ac:dyDescent="0.3">
      <c r="A25" s="6"/>
      <c r="B25" s="6"/>
      <c r="C25" s="6"/>
      <c r="D25" s="6"/>
      <c r="E25" s="6"/>
      <c r="F25" s="6"/>
      <c r="G25" s="6"/>
      <c r="H25" s="6"/>
      <c r="I25" s="6"/>
      <c r="J25" s="6"/>
      <c r="K25" s="6"/>
      <c r="L25" s="6"/>
      <c r="M25" s="6"/>
      <c r="N25" s="6"/>
      <c r="O25" s="6"/>
      <c r="P25" s="6"/>
      <c r="Q25" s="6"/>
      <c r="R25" s="6"/>
      <c r="S25" s="6"/>
      <c r="T25" s="6"/>
      <c r="U25" s="6"/>
    </row>
    <row r="26" spans="1:21" x14ac:dyDescent="0.3">
      <c r="A26" s="6"/>
      <c r="B26" s="6"/>
      <c r="C26" s="6"/>
      <c r="D26" s="6"/>
      <c r="E26" s="6"/>
      <c r="F26" s="6"/>
      <c r="G26" s="6"/>
      <c r="H26" s="6"/>
      <c r="I26" s="6"/>
      <c r="J26" s="6"/>
      <c r="K26" s="6"/>
      <c r="L26" s="6"/>
      <c r="M26" s="6"/>
      <c r="N26" s="6"/>
      <c r="O26" s="6"/>
      <c r="P26" s="6"/>
      <c r="Q26" s="6"/>
      <c r="R26" s="6"/>
      <c r="S26" s="6"/>
      <c r="T26" s="6"/>
      <c r="U26" s="6"/>
    </row>
    <row r="27" spans="1:21" x14ac:dyDescent="0.3">
      <c r="A27" s="6"/>
      <c r="B27" s="6"/>
      <c r="C27" s="6"/>
      <c r="D27" s="6"/>
      <c r="E27" s="6"/>
      <c r="F27" s="6"/>
      <c r="G27" s="6"/>
      <c r="H27" s="6"/>
      <c r="I27" s="6"/>
      <c r="J27" s="6"/>
      <c r="K27" s="6"/>
      <c r="L27" s="6"/>
      <c r="M27" s="6"/>
      <c r="N27" s="6"/>
      <c r="O27" s="6"/>
      <c r="P27" s="6"/>
      <c r="Q27" s="6"/>
      <c r="R27" s="6"/>
      <c r="S27" s="6"/>
      <c r="T27" s="6"/>
      <c r="U27" s="6"/>
    </row>
    <row r="28" spans="1:21" x14ac:dyDescent="0.3">
      <c r="A28" s="6"/>
      <c r="B28" s="6"/>
      <c r="C28" s="6"/>
      <c r="D28" s="6"/>
      <c r="E28" s="6"/>
      <c r="F28" s="6"/>
      <c r="G28" s="6"/>
      <c r="H28" s="6"/>
      <c r="I28" s="6"/>
      <c r="J28" s="6"/>
      <c r="K28" s="6"/>
      <c r="L28" s="6"/>
      <c r="M28" s="6"/>
      <c r="N28" s="6"/>
      <c r="O28" s="6"/>
      <c r="P28" s="6"/>
      <c r="Q28" s="6"/>
      <c r="R28" s="6"/>
      <c r="S28" s="6"/>
      <c r="T28" s="6"/>
      <c r="U28" s="6"/>
    </row>
    <row r="29" spans="1:21" x14ac:dyDescent="0.3">
      <c r="A29" s="6"/>
      <c r="B29" s="6"/>
      <c r="C29" s="6"/>
      <c r="D29" s="6"/>
      <c r="E29" s="6"/>
      <c r="F29" s="6"/>
      <c r="G29" s="6"/>
      <c r="H29" s="6"/>
      <c r="I29" s="6"/>
      <c r="J29" s="6"/>
      <c r="K29" s="6"/>
      <c r="L29" s="6"/>
      <c r="M29" s="6"/>
      <c r="N29" s="6"/>
      <c r="O29" s="6"/>
      <c r="P29" s="6"/>
      <c r="Q29" s="6"/>
      <c r="R29" s="6"/>
      <c r="S29" s="6"/>
      <c r="T29" s="6"/>
      <c r="U29" s="6"/>
    </row>
    <row r="30" spans="1:21" x14ac:dyDescent="0.3">
      <c r="A30" s="6"/>
      <c r="B30" s="6"/>
      <c r="C30" s="6"/>
      <c r="D30" s="6"/>
      <c r="E30" s="6"/>
      <c r="F30" s="6"/>
      <c r="G30" s="6"/>
      <c r="H30" s="6"/>
      <c r="I30" s="6"/>
      <c r="J30" s="6"/>
      <c r="K30" s="6"/>
      <c r="L30" s="6"/>
      <c r="M30" s="6"/>
      <c r="N30" s="6"/>
      <c r="O30" s="6"/>
      <c r="P30" s="6"/>
      <c r="Q30" s="6"/>
      <c r="R30" s="6"/>
      <c r="S30" s="6"/>
      <c r="T30" s="6"/>
      <c r="U30" s="6"/>
    </row>
    <row r="31" spans="1:21" x14ac:dyDescent="0.3">
      <c r="A31" s="6"/>
      <c r="B31" s="6"/>
      <c r="C31" s="6"/>
      <c r="D31" s="6"/>
      <c r="E31" s="6"/>
      <c r="F31" s="6"/>
      <c r="G31" s="6"/>
      <c r="H31" s="6"/>
      <c r="I31" s="6"/>
      <c r="J31" s="6"/>
      <c r="K31" s="6"/>
      <c r="L31" s="6"/>
      <c r="M31" s="6"/>
      <c r="N31" s="6"/>
      <c r="O31" s="6"/>
      <c r="P31" s="6"/>
      <c r="Q31" s="6"/>
      <c r="R31" s="6"/>
      <c r="S31" s="6"/>
      <c r="T31" s="6"/>
      <c r="U31" s="6"/>
    </row>
    <row r="32" spans="1:21" x14ac:dyDescent="0.3">
      <c r="A32" s="6"/>
      <c r="B32" s="6"/>
      <c r="C32" s="6"/>
      <c r="D32" s="6"/>
      <c r="E32" s="6"/>
      <c r="F32" s="6"/>
      <c r="G32" s="6"/>
      <c r="H32" s="6"/>
      <c r="I32" s="6"/>
      <c r="J32" s="6"/>
      <c r="K32" s="6"/>
      <c r="L32" s="6"/>
      <c r="M32" s="6"/>
      <c r="N32" s="6"/>
      <c r="O32" s="6"/>
      <c r="P32" s="6"/>
      <c r="Q32" s="6"/>
      <c r="R32" s="6"/>
      <c r="S32" s="6"/>
      <c r="T32" s="6"/>
      <c r="U32" s="6"/>
    </row>
    <row r="33" spans="1:21" x14ac:dyDescent="0.3">
      <c r="A33" s="6"/>
      <c r="B33" s="6"/>
      <c r="C33" s="6"/>
      <c r="D33" s="6"/>
      <c r="E33" s="6"/>
      <c r="F33" s="6"/>
      <c r="G33" s="6"/>
      <c r="H33" s="6"/>
      <c r="I33" s="6"/>
      <c r="J33" s="6"/>
      <c r="K33" s="6"/>
      <c r="L33" s="6"/>
      <c r="M33" s="6"/>
      <c r="N33" s="6"/>
      <c r="O33" s="6"/>
      <c r="P33" s="6"/>
      <c r="Q33" s="6"/>
      <c r="R33" s="6"/>
      <c r="S33" s="6"/>
      <c r="T33" s="6"/>
      <c r="U33" s="6"/>
    </row>
    <row r="34" spans="1:21" x14ac:dyDescent="0.3">
      <c r="A34" s="6"/>
      <c r="B34" s="6"/>
      <c r="C34" s="6"/>
      <c r="D34" s="6"/>
      <c r="E34" s="6"/>
      <c r="F34" s="6"/>
      <c r="G34" s="6"/>
      <c r="H34" s="6"/>
      <c r="I34" s="6"/>
      <c r="J34" s="6"/>
      <c r="K34" s="6"/>
      <c r="L34" s="6"/>
      <c r="M34" s="6"/>
      <c r="N34" s="6"/>
      <c r="O34" s="6"/>
      <c r="P34" s="6"/>
      <c r="Q34" s="6"/>
      <c r="R34" s="6"/>
      <c r="S34" s="6"/>
      <c r="T34" s="6"/>
      <c r="U34" s="6"/>
    </row>
    <row r="35" spans="1:21" x14ac:dyDescent="0.3">
      <c r="A35" s="6"/>
      <c r="B35" s="6"/>
      <c r="C35" s="6"/>
      <c r="D35" s="6"/>
      <c r="E35" s="6"/>
      <c r="F35" s="6"/>
      <c r="G35" s="6"/>
      <c r="H35" s="6"/>
      <c r="I35" s="6"/>
      <c r="J35" s="6"/>
      <c r="K35" s="6"/>
      <c r="L35" s="6"/>
      <c r="M35" s="6"/>
      <c r="N35" s="6"/>
      <c r="O35" s="6"/>
      <c r="P35" s="6"/>
      <c r="Q35" s="6"/>
      <c r="R35" s="6"/>
      <c r="S35" s="6"/>
      <c r="T35" s="6"/>
      <c r="U35" s="6"/>
    </row>
    <row r="36" spans="1:21" x14ac:dyDescent="0.3">
      <c r="A36" s="6"/>
      <c r="B36" s="6"/>
      <c r="C36" s="6"/>
      <c r="D36" s="6"/>
      <c r="E36" s="6"/>
      <c r="F36" s="6"/>
      <c r="G36" s="6"/>
      <c r="H36" s="6"/>
      <c r="I36" s="6"/>
      <c r="J36" s="6"/>
      <c r="K36" s="6"/>
      <c r="L36" s="6"/>
      <c r="M36" s="6"/>
      <c r="N36" s="6"/>
      <c r="O36" s="6"/>
      <c r="P36" s="6"/>
      <c r="Q36" s="6"/>
      <c r="R36" s="6"/>
      <c r="S36" s="6"/>
      <c r="T36" s="6"/>
      <c r="U36" s="6"/>
    </row>
    <row r="37" spans="1:21" x14ac:dyDescent="0.3">
      <c r="A37" s="6"/>
      <c r="B37" s="6"/>
      <c r="C37" s="6"/>
      <c r="D37" s="6"/>
      <c r="E37" s="6"/>
      <c r="F37" s="6"/>
      <c r="G37" s="6"/>
      <c r="H37" s="6"/>
      <c r="I37" s="6"/>
      <c r="J37" s="6"/>
      <c r="K37" s="6"/>
      <c r="L37" s="6"/>
      <c r="M37" s="6"/>
      <c r="N37" s="6"/>
      <c r="O37" s="6"/>
      <c r="P37" s="6"/>
      <c r="Q37" s="6"/>
      <c r="R37" s="6"/>
      <c r="S37" s="6"/>
      <c r="T37" s="6"/>
      <c r="U37" s="6"/>
    </row>
    <row r="38" spans="1:21" x14ac:dyDescent="0.3">
      <c r="A38" s="6"/>
      <c r="B38" s="6"/>
      <c r="C38" s="6"/>
      <c r="D38" s="6"/>
      <c r="E38" s="6"/>
      <c r="F38" s="6"/>
      <c r="G38" s="6"/>
      <c r="H38" s="6"/>
      <c r="I38" s="6"/>
      <c r="J38" s="6"/>
      <c r="K38" s="6"/>
      <c r="L38" s="6"/>
      <c r="M38" s="6"/>
      <c r="N38" s="6"/>
      <c r="O38" s="6"/>
      <c r="P38" s="6"/>
      <c r="Q38" s="6"/>
      <c r="R38" s="6"/>
      <c r="S38" s="6"/>
      <c r="T38" s="6"/>
      <c r="U38" s="6"/>
    </row>
    <row r="39" spans="1:21" x14ac:dyDescent="0.3">
      <c r="A39" s="6"/>
      <c r="B39" s="6"/>
      <c r="C39" s="6"/>
      <c r="D39" s="6"/>
      <c r="E39" s="6"/>
      <c r="F39" s="6"/>
      <c r="G39" s="6"/>
      <c r="H39" s="6"/>
      <c r="I39" s="6"/>
      <c r="J39" s="6"/>
      <c r="K39" s="6"/>
      <c r="L39" s="6"/>
      <c r="M39" s="6"/>
      <c r="N39" s="6"/>
      <c r="O39" s="6"/>
      <c r="P39" s="6"/>
      <c r="Q39" s="6"/>
      <c r="R39" s="6"/>
      <c r="S39" s="6"/>
      <c r="T39" s="6"/>
      <c r="U39" s="6"/>
    </row>
    <row r="40" spans="1:21" x14ac:dyDescent="0.3">
      <c r="A40" s="6"/>
      <c r="B40" s="6"/>
      <c r="C40" s="6"/>
      <c r="D40" s="6"/>
      <c r="E40" s="6"/>
      <c r="F40" s="6"/>
      <c r="G40" s="6"/>
      <c r="H40" s="6"/>
      <c r="I40" s="6"/>
      <c r="J40" s="6"/>
      <c r="K40" s="6"/>
      <c r="L40" s="6"/>
      <c r="M40" s="6"/>
      <c r="N40" s="6"/>
      <c r="O40" s="6"/>
      <c r="P40" s="6"/>
      <c r="Q40" s="6"/>
      <c r="R40" s="6"/>
      <c r="S40" s="6"/>
      <c r="T40" s="6"/>
      <c r="U40" s="6"/>
    </row>
    <row r="41" spans="1:21" x14ac:dyDescent="0.3">
      <c r="A41" s="6"/>
      <c r="B41" s="6"/>
      <c r="C41" s="6"/>
      <c r="D41" s="6"/>
      <c r="E41" s="6"/>
      <c r="F41" s="6"/>
      <c r="G41" s="6"/>
      <c r="H41" s="6"/>
      <c r="I41" s="6"/>
      <c r="J41" s="6"/>
      <c r="K41" s="6"/>
      <c r="L41" s="6"/>
      <c r="M41" s="6"/>
      <c r="N41" s="6"/>
      <c r="O41" s="6"/>
      <c r="P41" s="6"/>
      <c r="Q41" s="6"/>
      <c r="R41" s="6"/>
      <c r="S41" s="6"/>
      <c r="T41" s="6"/>
      <c r="U41" s="6"/>
    </row>
    <row r="42" spans="1:21" x14ac:dyDescent="0.3">
      <c r="A42" s="6"/>
      <c r="B42" s="6"/>
      <c r="C42" s="6"/>
      <c r="D42" s="6"/>
      <c r="E42" s="6"/>
      <c r="F42" s="6"/>
      <c r="G42" s="6"/>
      <c r="H42" s="6"/>
      <c r="I42" s="6"/>
      <c r="J42" s="6"/>
      <c r="K42" s="6"/>
      <c r="L42" s="6"/>
      <c r="M42" s="6"/>
      <c r="N42" s="6"/>
      <c r="O42" s="6"/>
      <c r="P42" s="6"/>
      <c r="Q42" s="6"/>
      <c r="R42" s="6"/>
      <c r="S42" s="6"/>
      <c r="T42" s="6"/>
      <c r="U42" s="6"/>
    </row>
    <row r="43" spans="1:21" x14ac:dyDescent="0.3">
      <c r="A43" s="6"/>
      <c r="B43" s="6"/>
      <c r="C43" s="6"/>
      <c r="D43" s="6"/>
      <c r="E43" s="6"/>
      <c r="F43" s="6"/>
      <c r="G43" s="6"/>
      <c r="H43" s="6"/>
      <c r="I43" s="6"/>
      <c r="J43" s="6"/>
      <c r="K43" s="6"/>
      <c r="L43" s="6"/>
      <c r="M43" s="6"/>
      <c r="N43" s="6"/>
      <c r="O43" s="6"/>
      <c r="P43" s="6"/>
      <c r="Q43" s="6"/>
      <c r="R43" s="6"/>
      <c r="S43" s="6"/>
      <c r="T43" s="6"/>
      <c r="U43" s="6"/>
    </row>
    <row r="44" spans="1:21" x14ac:dyDescent="0.3">
      <c r="A44" s="6"/>
      <c r="B44" s="6"/>
      <c r="C44" s="6"/>
      <c r="D44" s="6"/>
      <c r="E44" s="6"/>
      <c r="F44" s="6"/>
      <c r="G44" s="6"/>
      <c r="H44" s="6"/>
      <c r="I44" s="6"/>
      <c r="J44" s="6"/>
      <c r="K44" s="6"/>
      <c r="L44" s="6"/>
      <c r="M44" s="6"/>
      <c r="N44" s="6"/>
      <c r="O44" s="6"/>
      <c r="P44" s="6"/>
      <c r="Q44" s="6"/>
      <c r="R44" s="6"/>
      <c r="S44" s="6"/>
      <c r="T44" s="6"/>
      <c r="U44" s="6"/>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Raw_Data</vt:lpstr>
      <vt:lpstr>Cleaned_Data</vt:lpstr>
      <vt:lpstr>Calculation</vt:lpstr>
      <vt:lpstr>KPI_Summary</vt:lpstr>
      <vt:lpstr>Pivot_Table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Hemalatha Dodla</dc:creator>
  <cp:lastModifiedBy>Hemalatha Dodla</cp:lastModifiedBy>
  <dcterms:created xsi:type="dcterms:W3CDTF">2026-04-14T12:47:02Z</dcterms:created>
  <dcterms:modified xsi:type="dcterms:W3CDTF">2026-04-14T15:53:59Z</dcterms:modified>
</cp:coreProperties>
</file>